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bbr-my.sharepoint.com/personal/robertobaptista_unb_br/Documents/ProfRobertoBaptista/Proposta_CentroReabilitacaoDF/PropostaFAPDF2025Compartilhada/"/>
    </mc:Choice>
  </mc:AlternateContent>
  <xr:revisionPtr revIDLastSave="1829" documentId="8_{CAAFCAD6-FAFC-485C-A4A1-0F5B766A114F}" xr6:coauthVersionLast="47" xr6:coauthVersionMax="47" xr10:uidLastSave="{79DF5CEF-11E0-4804-990F-2CFB45DA4EEA}"/>
  <bookViews>
    <workbookView xWindow="28680" yWindow="-120" windowWidth="20730" windowHeight="11040" xr2:uid="{394BB438-2623-478F-AFD2-F5597F240F5A}"/>
  </bookViews>
  <sheets>
    <sheet name="Principal_detalhado (2)" sheetId="13" r:id="rId1"/>
    <sheet name="Principal_detalhado" sheetId="8" r:id="rId2"/>
    <sheet name="Consolidado" sheetId="10" r:id="rId3"/>
    <sheet name="Por Cota" sheetId="12" r:id="rId4"/>
    <sheet name="Por Categoria" sheetId="11" r:id="rId5"/>
    <sheet name="contrapartida" sheetId="2" r:id="rId6"/>
    <sheet name="Whishlist" sheetId="7" r:id="rId7"/>
    <sheet name="aux" sheetId="9" state="hidden" r:id="rId8"/>
  </sheets>
  <calcPr calcId="191028"/>
  <pivotCaches>
    <pivotCache cacheId="1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13" l="1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B38" i="13"/>
  <c r="E38" i="13" s="1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B19" i="13"/>
  <c r="E19" i="13" s="1"/>
  <c r="B18" i="13"/>
  <c r="E18" i="13" s="1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5" i="8"/>
  <c r="E48" i="8"/>
  <c r="E53" i="8"/>
  <c r="E54" i="8"/>
  <c r="E32" i="8"/>
  <c r="E33" i="8"/>
  <c r="E35" i="8"/>
  <c r="B38" i="8"/>
  <c r="E41" i="8"/>
  <c r="E10" i="8"/>
  <c r="E61" i="8"/>
  <c r="E45" i="8"/>
  <c r="E57" i="8"/>
  <c r="E42" i="8"/>
  <c r="E56" i="8"/>
  <c r="E31" i="8"/>
  <c r="E55" i="8"/>
  <c r="E30" i="8"/>
  <c r="E34" i="8" l="1"/>
  <c r="E17" i="8" l="1"/>
  <c r="E3" i="8" l="1"/>
  <c r="E37" i="8"/>
  <c r="E59" i="8"/>
  <c r="E36" i="8"/>
  <c r="E4" i="8"/>
  <c r="E39" i="8"/>
  <c r="E60" i="8"/>
  <c r="E26" i="8"/>
  <c r="E40" i="8"/>
  <c r="E43" i="8"/>
  <c r="E27" i="8"/>
  <c r="E28" i="8"/>
  <c r="E29" i="8"/>
  <c r="E51" i="8"/>
  <c r="E44" i="8"/>
  <c r="E46" i="8"/>
  <c r="E49" i="8"/>
  <c r="E52" i="8"/>
  <c r="E50" i="8"/>
  <c r="B18" i="8"/>
  <c r="E18" i="8" s="1"/>
  <c r="B19" i="8"/>
  <c r="E19" i="8" s="1"/>
  <c r="E8" i="8"/>
  <c r="E7" i="8"/>
  <c r="C27" i="10" s="1"/>
  <c r="E5" i="8"/>
  <c r="E13" i="8"/>
  <c r="E47" i="8"/>
  <c r="E9" i="8"/>
  <c r="E14" i="8"/>
  <c r="E20" i="8"/>
  <c r="E12" i="8"/>
  <c r="E16" i="8"/>
  <c r="E6" i="8"/>
  <c r="E23" i="8"/>
  <c r="E11" i="8"/>
  <c r="E15" i="8"/>
  <c r="E24" i="8"/>
  <c r="E58" i="8"/>
  <c r="E21" i="8"/>
  <c r="E22" i="8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F38" i="7"/>
  <c r="F37" i="7"/>
  <c r="F36" i="7"/>
  <c r="F35" i="7"/>
  <c r="F34" i="7"/>
  <c r="F33" i="7"/>
  <c r="F32" i="7"/>
  <c r="F31" i="7"/>
  <c r="F30" i="7"/>
  <c r="C29" i="7"/>
  <c r="F29" i="7" s="1"/>
  <c r="F28" i="7"/>
  <c r="F27" i="7"/>
  <c r="F26" i="7"/>
  <c r="F25" i="7"/>
  <c r="F24" i="7"/>
  <c r="F23" i="7"/>
  <c r="F22" i="7"/>
  <c r="F21" i="7"/>
  <c r="F20" i="7"/>
  <c r="F19" i="7"/>
  <c r="F18" i="7"/>
  <c r="F17" i="7"/>
  <c r="C28" i="10" l="1"/>
  <c r="C29" i="10"/>
  <c r="D8" i="10"/>
  <c r="D10" i="10"/>
  <c r="D7" i="10"/>
  <c r="C26" i="10"/>
  <c r="D9" i="10"/>
  <c r="D11" i="10"/>
  <c r="E38" i="8" s="1"/>
  <c r="C17" i="10"/>
  <c r="F39" i="7"/>
  <c r="E60" i="7"/>
  <c r="F4" i="7"/>
  <c r="G4" i="7" s="1"/>
  <c r="F5" i="7"/>
  <c r="F6" i="7"/>
  <c r="G6" i="7" s="1"/>
  <c r="F7" i="7"/>
  <c r="G7" i="7" s="1"/>
  <c r="F8" i="7"/>
  <c r="G8" i="7" s="1"/>
  <c r="G5" i="7"/>
  <c r="E3" i="7"/>
  <c r="E2" i="7"/>
  <c r="F2" i="7" s="1"/>
  <c r="G2" i="7" s="1"/>
  <c r="D12" i="10" l="1"/>
  <c r="D13" i="10" s="1"/>
  <c r="C16" i="10"/>
  <c r="C18" i="10" s="1"/>
  <c r="D17" i="10" s="1"/>
  <c r="C2" i="10"/>
  <c r="C4" i="10" s="1"/>
  <c r="C21" i="10"/>
  <c r="C22" i="10" s="1"/>
  <c r="C23" i="10" s="1"/>
  <c r="D27" i="10" s="1"/>
  <c r="C30" i="10"/>
  <c r="F3" i="7"/>
  <c r="G3" i="7" s="1"/>
  <c r="D26" i="10" l="1"/>
  <c r="D28" i="10"/>
  <c r="D29" i="10"/>
  <c r="D16" i="10"/>
  <c r="D18" i="10" s="1"/>
  <c r="F6" i="2"/>
  <c r="E6" i="2"/>
  <c r="E4" i="2"/>
  <c r="F4" i="2" s="1"/>
  <c r="E5" i="2"/>
  <c r="F5" i="2" s="1"/>
  <c r="E3" i="2"/>
  <c r="F3" i="2" s="1"/>
  <c r="D30" i="10" l="1"/>
  <c r="F30" i="10" s="1"/>
  <c r="F7" i="2"/>
</calcChain>
</file>

<file path=xl/sharedStrings.xml><?xml version="1.0" encoding="utf-8"?>
<sst xmlns="http://schemas.openxmlformats.org/spreadsheetml/2006/main" count="621" uniqueCount="178">
  <si>
    <t>R$</t>
  </si>
  <si>
    <t>Bolsas</t>
  </si>
  <si>
    <t>Diárias</t>
  </si>
  <si>
    <t>Passagens</t>
  </si>
  <si>
    <t>Material de Consumo</t>
  </si>
  <si>
    <t>Material Permanente e Equipamentos</t>
  </si>
  <si>
    <t>Serviços de Terceiros</t>
  </si>
  <si>
    <t>Total</t>
  </si>
  <si>
    <t>Tipo de Verba</t>
  </si>
  <si>
    <t>Proporção</t>
  </si>
  <si>
    <t>Valor de cada Bolsa</t>
  </si>
  <si>
    <t>Valor no projeto</t>
  </si>
  <si>
    <t>Pós-Doutor</t>
  </si>
  <si>
    <t>Doutorado</t>
  </si>
  <si>
    <t>Valor Unitário</t>
  </si>
  <si>
    <t>Doutorando</t>
  </si>
  <si>
    <t>Mestrado</t>
  </si>
  <si>
    <t>Mestrando</t>
  </si>
  <si>
    <t>Graduado</t>
  </si>
  <si>
    <t>Graduando</t>
  </si>
  <si>
    <t xml:space="preserve">Material de Consumo </t>
  </si>
  <si>
    <t>Item</t>
  </si>
  <si>
    <t>Valor unitário</t>
  </si>
  <si>
    <t>Qtde</t>
  </si>
  <si>
    <t>Prototipagem Smart Walker</t>
  </si>
  <si>
    <t>Material de Consumo. Assinaturas</t>
  </si>
  <si>
    <t>Meses/Anos</t>
  </si>
  <si>
    <t>Exoesqueleto</t>
  </si>
  <si>
    <t>Manutenção preventiva/corretiva do parque de equipamentos</t>
  </si>
  <si>
    <t xml:space="preserve">Item </t>
  </si>
  <si>
    <t xml:space="preserve">Site Fabricante </t>
  </si>
  <si>
    <t>Valor USD</t>
  </si>
  <si>
    <t>Valor BRL</t>
  </si>
  <si>
    <t>Custos Extra</t>
  </si>
  <si>
    <t xml:space="preserve">Estimativa Total </t>
  </si>
  <si>
    <t xml:space="preserve">Condições </t>
  </si>
  <si>
    <t>Exoesqueleto - Atalante X</t>
  </si>
  <si>
    <t>https://en.wandercraft.eu/atalante-x-rehabilitation-exoskeleton</t>
  </si>
  <si>
    <t>FCA + 1 year Maintenance</t>
  </si>
  <si>
    <t>Exoesqueleto - NX A13</t>
  </si>
  <si>
    <t>https://www.nxrehab.com/</t>
  </si>
  <si>
    <t>Ex Works - Instalação e Treinamento</t>
  </si>
  <si>
    <t>Exoesqueleto - ExoMotus M4</t>
  </si>
  <si>
    <t>https://www.fftai.com/products-exomotus-m4</t>
  </si>
  <si>
    <t>quote</t>
  </si>
  <si>
    <t xml:space="preserve">IMU Mocap - Xsense </t>
  </si>
  <si>
    <t>https://www.movella.com/products/motion-capture</t>
  </si>
  <si>
    <t>Mocap Chines - dica Luis</t>
  </si>
  <si>
    <t>FES - Stim2Go</t>
  </si>
  <si>
    <t>FES - manutenção Hasomed P4</t>
  </si>
  <si>
    <t>FES Cycling - Fesia Bike</t>
  </si>
  <si>
    <t>https://fesiatechnology.com/en/fesia-bike/</t>
  </si>
  <si>
    <t>FES Cycling - Myolin</t>
  </si>
  <si>
    <t>https://myolyn.com/for-home/overview/</t>
  </si>
  <si>
    <t>FES Cycling - RT300</t>
  </si>
  <si>
    <t>https://restorative-therapies.com/rt300/</t>
  </si>
  <si>
    <t>Especificação</t>
  </si>
  <si>
    <t>Sal./mês (R$)</t>
  </si>
  <si>
    <t>6h/sem (R$)</t>
  </si>
  <si>
    <t>João</t>
  </si>
  <si>
    <t>Professor adjunto em dedicação exclusiva</t>
  </si>
  <si>
    <t>Henrique</t>
  </si>
  <si>
    <t>Professor associado em dedicação exclusiva</t>
  </si>
  <si>
    <t>Roberto</t>
  </si>
  <si>
    <t>Maurício</t>
  </si>
  <si>
    <t>Tipo de Despesa</t>
  </si>
  <si>
    <t>Total (R$)</t>
  </si>
  <si>
    <t>Sensores não muito caro, mas software sim, Anselmo não recomenda</t>
  </si>
  <si>
    <t>IMU Mocap - Yost Labs PrioVR</t>
  </si>
  <si>
    <t>https://yostlabs.com/priovr/</t>
  </si>
  <si>
    <t>Eletroestimulador - FES Stim2Go</t>
  </si>
  <si>
    <t>Bicicleta elétrica Fisioterapia</t>
  </si>
  <si>
    <t>https://pajunk.com/us/products/pain-management/fes-nmes-tens/</t>
  </si>
  <si>
    <t>IMUs YEI PrioVR</t>
  </si>
  <si>
    <t xml:space="preserve">VR MetaQuest </t>
  </si>
  <si>
    <t>AR Inmo Air3</t>
  </si>
  <si>
    <t>Workastation AI</t>
  </si>
  <si>
    <t>Taxa Publicação Congresso ou Periódico</t>
  </si>
  <si>
    <t>Github Team</t>
  </si>
  <si>
    <t>Claude Pro</t>
  </si>
  <si>
    <t>Google AI Pro</t>
  </si>
  <si>
    <t xml:space="preserve">Todoist Business </t>
  </si>
  <si>
    <t>Adobe Acrobat Pro</t>
  </si>
  <si>
    <t>Class Point</t>
  </si>
  <si>
    <t>Gamma</t>
  </si>
  <si>
    <t>Elicit</t>
  </si>
  <si>
    <t>Jenni</t>
  </si>
  <si>
    <t>Reserach Rabbit</t>
  </si>
  <si>
    <t>Consensus</t>
  </si>
  <si>
    <t>Perplexity</t>
  </si>
  <si>
    <t>Material de escritório</t>
  </si>
  <si>
    <t>Matlab acadêmico (licença vitalícia)</t>
  </si>
  <si>
    <t>Revisão Textual para publicação em periódico científico (página)</t>
  </si>
  <si>
    <t>Grammarly</t>
  </si>
  <si>
    <t>Dropbox Pro</t>
  </si>
  <si>
    <t>Passagem internacional ida e votla - R</t>
  </si>
  <si>
    <t>Passagem nacional ida e volta - H</t>
  </si>
  <si>
    <t>Passagem nacional ida e volta - R</t>
  </si>
  <si>
    <t>Passagem internacional ida e votla - H</t>
  </si>
  <si>
    <t>Passagem internacional ida e votla - D</t>
  </si>
  <si>
    <t>Passagem nacional ida e volta - D</t>
  </si>
  <si>
    <t>Passagem internacional ida e votla - A</t>
  </si>
  <si>
    <t>Passagem nacional ida e volta - A</t>
  </si>
  <si>
    <t>Material para prototipagem eletromecânico</t>
  </si>
  <si>
    <t>Categoria</t>
  </si>
  <si>
    <t>Tipo da Cota</t>
  </si>
  <si>
    <t>nº períodos</t>
  </si>
  <si>
    <t>Categorias</t>
  </si>
  <si>
    <t>Bolsa</t>
  </si>
  <si>
    <t>Diária</t>
  </si>
  <si>
    <t>Passagem</t>
  </si>
  <si>
    <t>Comum</t>
  </si>
  <si>
    <t>Individual</t>
  </si>
  <si>
    <t>Bolsas de Pós-Doutorado</t>
  </si>
  <si>
    <t>Bolsas de Mestrado</t>
  </si>
  <si>
    <t>Bolsas de Graduação</t>
  </si>
  <si>
    <t>Cota de quem</t>
  </si>
  <si>
    <t>Durigan</t>
  </si>
  <si>
    <t>Anselmo</t>
  </si>
  <si>
    <t>Custeio</t>
  </si>
  <si>
    <t>Capital</t>
  </si>
  <si>
    <t>Bolsas para Mestrando</t>
  </si>
  <si>
    <t>Bolsas para Graduando</t>
  </si>
  <si>
    <t>Consumo</t>
  </si>
  <si>
    <t>Permanente</t>
  </si>
  <si>
    <t>Serviço</t>
  </si>
  <si>
    <t>USD/BRL</t>
  </si>
  <si>
    <t>Software de versionamento (GitHub Pro Team)</t>
  </si>
  <si>
    <t>Software de sincronização de arquivos (Dropbox Plus)</t>
  </si>
  <si>
    <t>Software de Gerenciamento de Projeto (Trello Premium)</t>
  </si>
  <si>
    <t>A Designar</t>
  </si>
  <si>
    <t>Diária Internacional - R</t>
  </si>
  <si>
    <t>Diária Nacional - R</t>
  </si>
  <si>
    <t>Diária Internacional - H</t>
  </si>
  <si>
    <t>Diária Nacional - H</t>
  </si>
  <si>
    <t>Diária Internacional - D</t>
  </si>
  <si>
    <t>Diária Nacional - D</t>
  </si>
  <si>
    <t>Diária Nacional - A</t>
  </si>
  <si>
    <t>Diária Internacional - A</t>
  </si>
  <si>
    <t>Computadores para Alunos</t>
  </si>
  <si>
    <t>Bolsa de Coordenação - R</t>
  </si>
  <si>
    <t>Bolsa de Coordenação - H</t>
  </si>
  <si>
    <t>Bolsa de Coordenação - D</t>
  </si>
  <si>
    <t>Bolsa de Coordenação - A</t>
  </si>
  <si>
    <t>Bolsa para Doutorando - R</t>
  </si>
  <si>
    <t>Bolsa para Doutorando - H</t>
  </si>
  <si>
    <t>Bolsa para Doutorando - D</t>
  </si>
  <si>
    <t>Bolsa para Doutorando - A</t>
  </si>
  <si>
    <t>Orçamento Consolidado por Categoria</t>
  </si>
  <si>
    <t>Orçamento Atual</t>
  </si>
  <si>
    <t>Orçamento Permitido</t>
  </si>
  <si>
    <t>Falta Alocar</t>
  </si>
  <si>
    <t>Valor</t>
  </si>
  <si>
    <t>Valores Finais do Orçamento</t>
  </si>
  <si>
    <t>Cota disponível por pessoa</t>
  </si>
  <si>
    <t>Total utilizado da cota Comum</t>
  </si>
  <si>
    <t>Total disponível para cotas</t>
  </si>
  <si>
    <t>Cálculo geral das cotas</t>
  </si>
  <si>
    <t>Falta Utilizar</t>
  </si>
  <si>
    <t>Cotista</t>
  </si>
  <si>
    <t>Checksum</t>
  </si>
  <si>
    <t>Bolsas de Mestrado - H</t>
  </si>
  <si>
    <t>Rótulos de Linha</t>
  </si>
  <si>
    <t>Total Geral</t>
  </si>
  <si>
    <t>Soma de Valor Unitário</t>
  </si>
  <si>
    <t>Soma de nº períodos</t>
  </si>
  <si>
    <t>Soma de Qtde</t>
  </si>
  <si>
    <t>Soma de Total</t>
  </si>
  <si>
    <t>Computador para Coordenador - H</t>
  </si>
  <si>
    <t>18 meses(R$)</t>
  </si>
  <si>
    <t>Passagem nacional ida e volta - Vinda Anselmo e aluno</t>
  </si>
  <si>
    <t>Diária Nacional -  - Vinda Anselmo e aluno</t>
  </si>
  <si>
    <t>Passagem nacional ida e volta - Workshop</t>
  </si>
  <si>
    <t>Diária Nacional -  Workshop</t>
  </si>
  <si>
    <t>Computadores</t>
  </si>
  <si>
    <t>Prototipagem Smart Walker - consumo</t>
  </si>
  <si>
    <t>Prototipagem Smart Walker - permanente</t>
  </si>
  <si>
    <t>FINATEC: despesas operacionais e administrativas para gestão do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</si>
</sst>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87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3" borderId="0" xfId="0" applyFill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4" fillId="2" borderId="1" xfId="0" applyFont="1" applyFill="1" applyBorder="1"/>
    <xf numFmtId="44" fontId="4" fillId="2" borderId="1" xfId="1" applyFont="1" applyFill="1" applyBorder="1"/>
    <xf numFmtId="44" fontId="4" fillId="2" borderId="1" xfId="1" applyFont="1" applyFill="1" applyBorder="1" applyAlignment="1">
      <alignment horizontal="center"/>
    </xf>
    <xf numFmtId="44" fontId="0" fillId="0" borderId="0" xfId="1" applyFont="1" applyFill="1"/>
    <xf numFmtId="2" fontId="0" fillId="0" borderId="0" xfId="0" applyNumberFormat="1"/>
    <xf numFmtId="0" fontId="6" fillId="0" borderId="0" xfId="0" applyFont="1" applyAlignment="1">
      <alignment horizontal="center"/>
    </xf>
    <xf numFmtId="0" fontId="6" fillId="0" borderId="0" xfId="0" applyFont="1"/>
    <xf numFmtId="2" fontId="6" fillId="0" borderId="0" xfId="1" applyNumberFormat="1" applyFont="1"/>
    <xf numFmtId="2" fontId="6" fillId="0" borderId="0" xfId="0" applyNumberFormat="1" applyFont="1"/>
    <xf numFmtId="164" fontId="0" fillId="0" borderId="0" xfId="0" applyNumberFormat="1"/>
    <xf numFmtId="0" fontId="8" fillId="0" borderId="0" xfId="3"/>
    <xf numFmtId="0" fontId="3" fillId="5" borderId="0" xfId="0" applyFont="1" applyFill="1"/>
    <xf numFmtId="0" fontId="4" fillId="5" borderId="0" xfId="0" applyFont="1" applyFill="1"/>
    <xf numFmtId="0" fontId="9" fillId="0" borderId="0" xfId="0" applyFont="1"/>
    <xf numFmtId="44" fontId="9" fillId="0" borderId="0" xfId="0" applyNumberFormat="1" applyFont="1"/>
    <xf numFmtId="1" fontId="9" fillId="0" borderId="0" xfId="0" applyNumberFormat="1" applyFont="1" applyAlignment="1">
      <alignment horizontal="center"/>
    </xf>
    <xf numFmtId="44" fontId="9" fillId="0" borderId="0" xfId="1" applyFont="1" applyFill="1"/>
    <xf numFmtId="4" fontId="4" fillId="5" borderId="0" xfId="0" applyNumberFormat="1" applyFont="1" applyFill="1"/>
    <xf numFmtId="4" fontId="0" fillId="0" borderId="0" xfId="0" applyNumberFormat="1"/>
    <xf numFmtId="165" fontId="4" fillId="5" borderId="0" xfId="0" applyNumberFormat="1" applyFont="1" applyFill="1"/>
    <xf numFmtId="165" fontId="0" fillId="0" borderId="0" xfId="0" applyNumberFormat="1"/>
    <xf numFmtId="0" fontId="4" fillId="6" borderId="0" xfId="0" applyFont="1" applyFill="1"/>
    <xf numFmtId="4" fontId="0" fillId="7" borderId="0" xfId="0" applyNumberFormat="1" applyFill="1"/>
    <xf numFmtId="165" fontId="10" fillId="0" borderId="0" xfId="0" applyNumberFormat="1" applyFont="1"/>
    <xf numFmtId="0" fontId="11" fillId="0" borderId="0" xfId="0" applyFont="1"/>
    <xf numFmtId="4" fontId="11" fillId="7" borderId="0" xfId="0" applyNumberFormat="1" applyFont="1" applyFill="1"/>
    <xf numFmtId="4" fontId="11" fillId="0" borderId="0" xfId="0" applyNumberFormat="1" applyFont="1"/>
    <xf numFmtId="165" fontId="11" fillId="0" borderId="0" xfId="0" applyNumberFormat="1" applyFont="1"/>
    <xf numFmtId="164" fontId="9" fillId="0" borderId="0" xfId="1" applyNumberFormat="1" applyFont="1" applyFill="1" applyBorder="1"/>
    <xf numFmtId="44" fontId="9" fillId="0" borderId="0" xfId="1" applyFont="1" applyFill="1" applyBorder="1"/>
    <xf numFmtId="0" fontId="12" fillId="0" borderId="0" xfId="0" applyFont="1"/>
    <xf numFmtId="44" fontId="12" fillId="0" borderId="0" xfId="0" applyNumberFormat="1" applyFont="1"/>
    <xf numFmtId="1" fontId="12" fillId="0" borderId="0" xfId="0" applyNumberFormat="1" applyFont="1" applyAlignment="1">
      <alignment horizontal="center"/>
    </xf>
    <xf numFmtId="44" fontId="12" fillId="0" borderId="0" xfId="1" applyFont="1" applyFill="1" applyBorder="1"/>
    <xf numFmtId="0" fontId="13" fillId="0" borderId="0" xfId="0" applyFont="1"/>
    <xf numFmtId="44" fontId="13" fillId="0" borderId="0" xfId="0" applyNumberFormat="1" applyFont="1"/>
    <xf numFmtId="1" fontId="13" fillId="0" borderId="0" xfId="0" applyNumberFormat="1" applyFont="1" applyAlignment="1">
      <alignment horizontal="center"/>
    </xf>
    <xf numFmtId="44" fontId="13" fillId="0" borderId="0" xfId="1" applyFont="1" applyFill="1" applyBorder="1"/>
    <xf numFmtId="44" fontId="0" fillId="0" borderId="0" xfId="1" applyFont="1" applyAlignment="1">
      <alignment horizontal="center"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44" fontId="0" fillId="0" borderId="0" xfId="0" applyNumberForma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2" fillId="0" borderId="0" xfId="0" applyFont="1" applyProtection="1">
      <protection locked="0"/>
    </xf>
    <xf numFmtId="44" fontId="0" fillId="0" borderId="0" xfId="0" applyNumberFormat="1" applyProtection="1">
      <protection locked="0"/>
    </xf>
    <xf numFmtId="44" fontId="0" fillId="0" borderId="0" xfId="1" applyFont="1" applyProtection="1">
      <protection locked="0"/>
    </xf>
    <xf numFmtId="44" fontId="2" fillId="0" borderId="0" xfId="0" applyNumberFormat="1" applyFont="1" applyProtection="1">
      <protection locked="0"/>
    </xf>
    <xf numFmtId="44" fontId="0" fillId="0" borderId="0" xfId="1" applyFont="1" applyFill="1" applyProtection="1"/>
    <xf numFmtId="44" fontId="2" fillId="0" borderId="0" xfId="0" applyNumberFormat="1" applyFont="1"/>
    <xf numFmtId="0" fontId="2" fillId="0" borderId="0" xfId="0" applyFont="1"/>
    <xf numFmtId="0" fontId="7" fillId="0" borderId="0" xfId="0" applyFont="1" applyProtection="1">
      <protection locked="0"/>
    </xf>
    <xf numFmtId="44" fontId="7" fillId="0" borderId="0" xfId="0" applyNumberFormat="1" applyFont="1" applyProtection="1">
      <protection locked="0"/>
    </xf>
    <xf numFmtId="0" fontId="7" fillId="0" borderId="0" xfId="0" applyFont="1"/>
    <xf numFmtId="0" fontId="6" fillId="0" borderId="0" xfId="0" applyFont="1" applyProtection="1">
      <protection locked="0"/>
    </xf>
    <xf numFmtId="9" fontId="6" fillId="0" borderId="0" xfId="2" applyFont="1" applyFill="1" applyProtection="1"/>
    <xf numFmtId="9" fontId="6" fillId="0" borderId="0" xfId="0" applyNumberFormat="1" applyFont="1"/>
    <xf numFmtId="44" fontId="6" fillId="0" borderId="0" xfId="1" applyFont="1" applyFill="1" applyProtection="1">
      <protection locked="0"/>
    </xf>
    <xf numFmtId="44" fontId="0" fillId="0" borderId="0" xfId="1" applyFont="1" applyFill="1" applyProtection="1">
      <protection locked="0"/>
    </xf>
    <xf numFmtId="44" fontId="0" fillId="8" borderId="0" xfId="0" applyNumberFormat="1" applyFill="1" applyProtection="1">
      <protection locked="0"/>
    </xf>
    <xf numFmtId="0" fontId="0" fillId="8" borderId="0" xfId="0" applyFill="1" applyProtection="1">
      <protection locked="0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9" fillId="0" borderId="0" xfId="0" applyFont="1" applyAlignment="1" applyProtection="1">
      <alignment vertical="center" wrapText="1"/>
      <protection locked="0"/>
    </xf>
    <xf numFmtId="44" fontId="9" fillId="0" borderId="0" xfId="0" applyNumberFormat="1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164" fontId="9" fillId="0" borderId="0" xfId="0" applyNumberFormat="1" applyFont="1" applyAlignment="1">
      <alignment horizontal="center" vertical="center" wrapText="1"/>
    </xf>
    <xf numFmtId="0" fontId="9" fillId="0" borderId="0" xfId="0" applyFont="1" applyAlignment="1" applyProtection="1">
      <alignment horizontal="left" vertical="center" wrapText="1"/>
      <protection locked="0"/>
    </xf>
    <xf numFmtId="0" fontId="5" fillId="4" borderId="1" xfId="0" applyFont="1" applyFill="1" applyBorder="1" applyAlignment="1">
      <alignment horizontal="center"/>
    </xf>
    <xf numFmtId="0" fontId="0" fillId="0" borderId="0" xfId="0" applyNumberFormat="1"/>
    <xf numFmtId="2" fontId="0" fillId="0" borderId="0" xfId="0" applyNumberFormat="1" applyAlignment="1" applyProtection="1">
      <alignment horizontal="center" vertical="center" wrapText="1"/>
      <protection locked="0"/>
    </xf>
    <xf numFmtId="2" fontId="9" fillId="0" borderId="0" xfId="0" applyNumberFormat="1" applyFont="1" applyAlignment="1" applyProtection="1">
      <alignment horizontal="center" vertical="center" wrapText="1"/>
      <protection locked="0"/>
    </xf>
    <xf numFmtId="2" fontId="0" fillId="0" borderId="0" xfId="0" applyNumberFormat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75">
    <dxf>
      <numFmt numFmtId="164" formatCode="_-[$R$-416]\ * #,##0.00_-;\-[$R$-416]\ * #,##0.00_-;_-[$R$-416]\ * &quot;-&quot;??_-;_-@_-"/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0" hidden="0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  <protection locked="0" hidden="0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  <protection locked="0" hidden="0"/>
    </dxf>
    <dxf>
      <alignment horizontal="general" vertical="center" textRotation="0" wrapText="1" indent="0" justifyLastLine="0" shrinkToFit="0" readingOrder="0"/>
      <protection locked="0" hidden="0"/>
    </dxf>
    <dxf>
      <alignment horizontal="general" vertical="center" textRotation="0" wrapText="1" indent="0" justifyLastLine="0" shrinkToFit="0" readingOrder="0"/>
      <protection locked="0" hidden="0"/>
    </dxf>
    <dxf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medium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numFmt numFmtId="34" formatCode="_-&quot;R$&quot;\ * #,##0.00_-;\-&quot;R$&quot;\ * #,##0.00_-;_-&quot;R$&quot;\ * &quot;-&quot;??_-;_-@_-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top style="medium">
          <color rgb="FF000000"/>
        </top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auto="1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auto="1"/>
        </patternFill>
      </fill>
      <protection locked="0" hidden="0"/>
    </dxf>
    <dxf>
      <font>
        <b/>
      </font>
      <protection locked="0" hidden="0"/>
    </dxf>
    <dxf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alignment horizontal="left" vertical="center" textRotation="0" wrapText="1" indent="0" justifyLastLine="0" shrinkToFit="0" readingOrder="0"/>
      <protection locked="0" hidden="0"/>
    </dxf>
    <dxf>
      <alignment horizontal="general" vertical="center" textRotation="0" wrapText="1" indent="0" justifyLastLine="0" shrinkToFit="0" readingOrder="0"/>
      <protection locked="0" hidden="0"/>
    </dxf>
    <dxf>
      <numFmt numFmtId="164" formatCode="_-[$R$-416]\ * #,##0.00_-;\-[$R$-416]\ * #,##0.00_-;_-[$R$-416]\ * &quot;-&quot;??_-;_-@_-"/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0" hidden="0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  <protection locked="0" hidden="0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  <protection locked="0" hidden="0"/>
    </dxf>
    <dxf>
      <alignment horizontal="general" vertical="center" textRotation="0" wrapText="1" indent="0" justifyLastLine="0" shrinkToFit="0" readingOrder="0"/>
      <protection locked="0" hidden="0"/>
    </dxf>
    <dxf>
      <alignment horizontal="general" vertical="center" textRotation="0" wrapText="1" indent="0" justifyLastLine="0" shrinkToFit="0" readingOrder="0"/>
      <protection locked="0" hidden="0"/>
    </dxf>
    <dxf>
      <alignment horizontal="center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nrique Marra Taira Menegaz" refreshedDate="45988.435730092591" createdVersion="8" refreshedVersion="8" minRefreshableVersion="3" recordCount="59" xr:uid="{CC16A67F-AB73-4212-9E92-94992E528E49}">
  <cacheSource type="worksheet">
    <worksheetSource name="tab_principal"/>
  </cacheSource>
  <cacheFields count="8">
    <cacheField name="Item" numFmtId="0">
      <sharedItems containsBlank="1" count="80">
        <s v="AR Inmo Air3"/>
        <s v="Bicicleta elétrica Fisioterapia"/>
        <s v="Bolsa de Coordenação - A"/>
        <s v="Bolsa de Coordenação - D"/>
        <s v="Bolsa de Coordenação - H"/>
        <s v="Bolsa de Coordenação - R"/>
        <s v="Bolsa para Doutorando - A"/>
        <s v="Computadores"/>
        <s v="Bolsa para Doutorando - D"/>
        <s v="Bolsas de Mestrado"/>
        <s v="Bolsa para Doutorando - R"/>
        <s v="Bolsas de Graduação"/>
        <s v="Bolsas para Mestrando"/>
        <s v="Material para prototipagem eletromecânico"/>
        <s v="Bolsas de Mestrado - H"/>
        <s v="Software de Gerenciamento de Projeto (Trello Premium)"/>
        <s v="Software de sincronização de arquivos (Dropbox Plus)"/>
        <s v="Software de versionamento (GitHub Pro Team)"/>
        <s v="Taxa Publicação Congresso ou Periódico"/>
        <s v="Todoist Business "/>
        <s v="Bolsas de Pós-Doutorado"/>
        <s v="Bolsas para Graduando"/>
        <s v="Computador para Coordenador - H"/>
        <s v="Computadores para Alunos"/>
        <s v="Diária Internacional - A"/>
        <s v="Diária Internacional - D"/>
        <s v="Diária Internacional - R"/>
        <s v="Diária Nacional -  - Vinda Anselmo e aluno"/>
        <s v="Diária Nacional -  Workshop"/>
        <s v="Diária Nacional - A"/>
        <s v="Diária Nacional - D"/>
        <s v="Workastation AI"/>
        <s v="Diária Nacional - R"/>
        <s v="Eletroestimulador - FES Stim2Go"/>
        <s v="Exoesqueleto"/>
        <s v="FINATEC: despesas operacionais e administrativas para gestão do projeto"/>
        <s v="IMUs YEI PrioVR"/>
        <s v="Manutenção preventiva/corretiva do parque de equipamentos"/>
        <s v="Passagem internacional ida e votla - A"/>
        <s v="Passagem internacional ida e votla - D"/>
        <s v="Passagem internacional ida e votla - R"/>
        <s v="Bolsa para Doutorando - H"/>
        <s v="Passagem nacional ida e volta - A"/>
        <s v="Diária Internacional - H"/>
        <s v="Diária Nacional - H"/>
        <s v="Passagem internacional ida e votla - H"/>
        <s v="Passagem nacional ida e volta - H"/>
        <s v="Passagem nacional ida e volta - D"/>
        <s v="Passagem nacional ida e volta - R"/>
        <s v="Passagem nacional ida e volta - Vinda Anselmo e aluno"/>
        <s v="Passagem nacional ida e volta - Workshop"/>
        <s v="Prototipagem Smart Walker"/>
        <s v="Prototipagem Smart Walker - consumo"/>
        <s v="Prototipagem Smart Walker - permanente"/>
        <s v="VR MetaQuest "/>
        <s v="FINATEC: Ressarcimento da UnB / custos indiretos" u="1"/>
        <s v="FINATEC: gerenciamento de projetos " u="1"/>
        <s v="FINATEC: Ressarcimento da UnB" u="1"/>
        <s v="Adobe Acrobat Pro" u="1"/>
        <s v="Claude Pro - H" u="1"/>
        <s v="Google AI Pro - H" u="1"/>
        <s v="Baseus USB C HUB Dual HDMI 8K 4K Adaptador 10-em-1" u="1"/>
        <s v="HoYiXi Capa de couro para laptop de 15 de 16 polegadas para MacBook Pro 16" u="1"/>
        <s v="Hub USB Tipo C 4 em 1 Adaptador Multiporta HDMI 4K VGA USB 3.0 PD Thunderbolt 3 e 4 Compatível com MacBook" u="1"/>
        <s v="Magic Mouse (Apple)" u="1"/>
        <s v="Acessoria gerenciamento de projetos " u="1"/>
        <s v="Computador Pessoal para IA - H" u="1"/>
        <s v="Adaptador de USB-C para AV digital multiporta Apple" u="1"/>
        <s v="Adaptador de USB-C para  Apple" u="1"/>
        <s v="Cabo para recarga de 240W com conector USB-C Apple (2m)" u="1"/>
        <s v="Cabo Thunderbolt 4 Pro (USB‑C) Apple – 1m" u="1"/>
        <s v="Class Point" u="1"/>
        <s v="Gamma" u="1"/>
        <s v="Elicit" u="1"/>
        <s v="Jenni" u="1"/>
        <s v="Reserach Rabbit" u="1"/>
        <s v="Consensus" u="1"/>
        <s v="Perplexity" u="1"/>
        <s v="Grammarly" u="1"/>
        <m u="1"/>
      </sharedItems>
    </cacheField>
    <cacheField name="Valor Unitário" numFmtId="44">
      <sharedItems containsSemiMixedTypes="0" containsString="0" containsNumber="1" minValue="0" maxValue="1000000"/>
    </cacheField>
    <cacheField name="nº períodos" numFmtId="0">
      <sharedItems containsSemiMixedTypes="0" containsString="0" containsNumber="1" containsInteger="1" minValue="1" maxValue="18"/>
    </cacheField>
    <cacheField name="Qtde" numFmtId="0">
      <sharedItems containsSemiMixedTypes="0" containsString="0" containsNumber="1" containsInteger="1" minValue="0" maxValue="14"/>
    </cacheField>
    <cacheField name="Total" numFmtId="164">
      <sharedItems containsSemiMixedTypes="0" containsString="0" containsNumber="1" containsInteger="1" minValue="0" maxValue="1000000"/>
    </cacheField>
    <cacheField name="Categoria" numFmtId="0">
      <sharedItems containsBlank="1" count="7">
        <s v="Permanente"/>
        <s v="Bolsa"/>
        <s v="Consumo"/>
        <s v="Diária"/>
        <s v="Serviço"/>
        <s v="Passagem"/>
        <m u="1"/>
      </sharedItems>
    </cacheField>
    <cacheField name="Cota de quem" numFmtId="0">
      <sharedItems containsBlank="1" count="7">
        <s v="Comum"/>
        <s v="Anselmo"/>
        <s v="Durigan"/>
        <s v="Henrique"/>
        <s v="Roberto"/>
        <s v="A Designar" u="1"/>
        <m u="1"/>
      </sharedItems>
    </cacheField>
    <cacheField name="Tipo de Verb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n v="7500"/>
    <n v="1"/>
    <n v="1"/>
    <n v="7500"/>
    <x v="0"/>
    <x v="0"/>
    <s v="Capital"/>
  </r>
  <r>
    <x v="1"/>
    <n v="3000"/>
    <n v="1"/>
    <n v="1"/>
    <n v="3000"/>
    <x v="0"/>
    <x v="0"/>
    <s v="Capital"/>
  </r>
  <r>
    <x v="2"/>
    <n v="6900"/>
    <n v="18"/>
    <n v="1"/>
    <n v="124200"/>
    <x v="1"/>
    <x v="1"/>
    <s v="Custeio"/>
  </r>
  <r>
    <x v="3"/>
    <n v="6900"/>
    <n v="18"/>
    <n v="1"/>
    <n v="124200"/>
    <x v="1"/>
    <x v="2"/>
    <s v="Custeio"/>
  </r>
  <r>
    <x v="4"/>
    <n v="6900"/>
    <n v="18"/>
    <n v="1"/>
    <n v="124200"/>
    <x v="1"/>
    <x v="3"/>
    <s v="Custeio"/>
  </r>
  <r>
    <x v="5"/>
    <n v="6900"/>
    <n v="18"/>
    <n v="1"/>
    <n v="124200"/>
    <x v="1"/>
    <x v="4"/>
    <s v="Custeio"/>
  </r>
  <r>
    <x v="6"/>
    <n v="4000"/>
    <n v="18"/>
    <n v="1"/>
    <n v="72000"/>
    <x v="1"/>
    <x v="1"/>
    <s v="Custeio"/>
  </r>
  <r>
    <x v="7"/>
    <n v="13590.5"/>
    <n v="1"/>
    <n v="0"/>
    <n v="0"/>
    <x v="0"/>
    <x v="1"/>
    <s v="Custeio"/>
  </r>
  <r>
    <x v="8"/>
    <n v="4000"/>
    <n v="18"/>
    <n v="1"/>
    <n v="72000"/>
    <x v="1"/>
    <x v="2"/>
    <s v="Custeio"/>
  </r>
  <r>
    <x v="9"/>
    <n v="3000"/>
    <n v="18"/>
    <n v="0"/>
    <n v="0"/>
    <x v="1"/>
    <x v="0"/>
    <s v="Custeio"/>
  </r>
  <r>
    <x v="10"/>
    <n v="4000"/>
    <n v="18"/>
    <n v="1"/>
    <n v="72000"/>
    <x v="1"/>
    <x v="4"/>
    <s v="Custeio"/>
  </r>
  <r>
    <x v="11"/>
    <n v="1500"/>
    <n v="18"/>
    <n v="2"/>
    <n v="54000"/>
    <x v="1"/>
    <x v="0"/>
    <s v="Custeio"/>
  </r>
  <r>
    <x v="12"/>
    <n v="2100"/>
    <n v="18"/>
    <n v="0"/>
    <n v="0"/>
    <x v="1"/>
    <x v="0"/>
    <s v="Custeio"/>
  </r>
  <r>
    <x v="13"/>
    <n v="0"/>
    <n v="1"/>
    <n v="0"/>
    <n v="0"/>
    <x v="2"/>
    <x v="0"/>
    <s v="Custeio"/>
  </r>
  <r>
    <x v="14"/>
    <n v="3000"/>
    <n v="18"/>
    <n v="1"/>
    <n v="54000"/>
    <x v="1"/>
    <x v="3"/>
    <s v="Custeio"/>
  </r>
  <r>
    <x v="15"/>
    <n v="330"/>
    <n v="2"/>
    <n v="0"/>
    <n v="0"/>
    <x v="2"/>
    <x v="0"/>
    <s v="Custeio"/>
  </r>
  <r>
    <x v="16"/>
    <n v="55"/>
    <n v="18"/>
    <n v="0"/>
    <n v="0"/>
    <x v="2"/>
    <x v="0"/>
    <s v="Custeio"/>
  </r>
  <r>
    <x v="17"/>
    <n v="22"/>
    <n v="18"/>
    <n v="0"/>
    <n v="0"/>
    <x v="2"/>
    <x v="0"/>
    <s v="Custeio"/>
  </r>
  <r>
    <x v="18"/>
    <n v="15000"/>
    <n v="1"/>
    <n v="0"/>
    <n v="0"/>
    <x v="2"/>
    <x v="0"/>
    <s v="Custeio"/>
  </r>
  <r>
    <x v="19"/>
    <n v="396"/>
    <n v="2"/>
    <n v="0"/>
    <n v="0"/>
    <x v="2"/>
    <x v="0"/>
    <s v="Custeio"/>
  </r>
  <r>
    <x v="20"/>
    <n v="7200"/>
    <n v="18"/>
    <n v="1"/>
    <n v="129600"/>
    <x v="1"/>
    <x v="0"/>
    <s v="Custeio"/>
  </r>
  <r>
    <x v="21"/>
    <n v="1100"/>
    <n v="18"/>
    <n v="2"/>
    <n v="39600"/>
    <x v="1"/>
    <x v="0"/>
    <s v="Custeio"/>
  </r>
  <r>
    <x v="22"/>
    <n v="18000"/>
    <n v="1"/>
    <n v="1"/>
    <n v="18000"/>
    <x v="0"/>
    <x v="3"/>
    <s v="Capital"/>
  </r>
  <r>
    <x v="23"/>
    <n v="15000"/>
    <n v="1"/>
    <n v="4"/>
    <n v="60000"/>
    <x v="0"/>
    <x v="0"/>
    <s v="Capital"/>
  </r>
  <r>
    <x v="24"/>
    <n v="2035"/>
    <n v="1"/>
    <n v="0"/>
    <n v="0"/>
    <x v="3"/>
    <x v="1"/>
    <s v="Custeio"/>
  </r>
  <r>
    <x v="25"/>
    <n v="2035"/>
    <n v="1"/>
    <n v="0"/>
    <n v="0"/>
    <x v="3"/>
    <x v="2"/>
    <s v="Custeio"/>
  </r>
  <r>
    <x v="26"/>
    <n v="2035"/>
    <n v="1"/>
    <n v="0"/>
    <n v="0"/>
    <x v="3"/>
    <x v="4"/>
    <s v="Custeio"/>
  </r>
  <r>
    <x v="27"/>
    <n v="350"/>
    <n v="1"/>
    <n v="14"/>
    <n v="4900"/>
    <x v="3"/>
    <x v="0"/>
    <s v="Custeio"/>
  </r>
  <r>
    <x v="28"/>
    <n v="350"/>
    <n v="1"/>
    <n v="4"/>
    <n v="1400"/>
    <x v="3"/>
    <x v="0"/>
    <s v="Custeio"/>
  </r>
  <r>
    <x v="29"/>
    <n v="350"/>
    <n v="1"/>
    <n v="0"/>
    <n v="0"/>
    <x v="3"/>
    <x v="1"/>
    <s v="Custeio"/>
  </r>
  <r>
    <x v="30"/>
    <n v="350"/>
    <n v="1"/>
    <n v="0"/>
    <n v="0"/>
    <x v="3"/>
    <x v="2"/>
    <s v="Custeio"/>
  </r>
  <r>
    <x v="31"/>
    <n v="100000"/>
    <n v="1"/>
    <n v="0"/>
    <n v="0"/>
    <x v="0"/>
    <x v="0"/>
    <s v="Capital"/>
  </r>
  <r>
    <x v="32"/>
    <n v="350"/>
    <n v="1"/>
    <n v="0"/>
    <n v="0"/>
    <x v="3"/>
    <x v="4"/>
    <s v="Custeio"/>
  </r>
  <r>
    <x v="33"/>
    <n v="50000"/>
    <n v="1"/>
    <n v="1"/>
    <n v="50000"/>
    <x v="0"/>
    <x v="0"/>
    <s v="Capital"/>
  </r>
  <r>
    <x v="34"/>
    <n v="1000000"/>
    <n v="1"/>
    <n v="1"/>
    <n v="1000000"/>
    <x v="0"/>
    <x v="0"/>
    <s v="Capital"/>
  </r>
  <r>
    <x v="35"/>
    <n v="436800"/>
    <n v="1"/>
    <n v="1"/>
    <n v="436800"/>
    <x v="4"/>
    <x v="0"/>
    <s v="Custeio"/>
  </r>
  <r>
    <x v="36"/>
    <n v="17900"/>
    <n v="1"/>
    <n v="1"/>
    <n v="17900"/>
    <x v="0"/>
    <x v="0"/>
    <s v="Capital"/>
  </r>
  <r>
    <x v="37"/>
    <n v="100000"/>
    <n v="1"/>
    <n v="1"/>
    <n v="100000"/>
    <x v="4"/>
    <x v="0"/>
    <s v="Custeio"/>
  </r>
  <r>
    <x v="13"/>
    <n v="0"/>
    <n v="1"/>
    <n v="1"/>
    <n v="0"/>
    <x v="2"/>
    <x v="1"/>
    <s v="Custeio"/>
  </r>
  <r>
    <x v="13"/>
    <n v="0"/>
    <n v="1"/>
    <n v="1"/>
    <n v="0"/>
    <x v="2"/>
    <x v="2"/>
    <s v="Custeio"/>
  </r>
  <r>
    <x v="38"/>
    <n v="10000"/>
    <n v="1"/>
    <n v="0"/>
    <n v="0"/>
    <x v="5"/>
    <x v="1"/>
    <s v="Custeio"/>
  </r>
  <r>
    <x v="39"/>
    <n v="10000"/>
    <n v="1"/>
    <n v="0"/>
    <n v="0"/>
    <x v="5"/>
    <x v="2"/>
    <s v="Custeio"/>
  </r>
  <r>
    <x v="7"/>
    <n v="13590.5"/>
    <n v="1"/>
    <n v="0"/>
    <n v="0"/>
    <x v="0"/>
    <x v="2"/>
    <s v="Custeio"/>
  </r>
  <r>
    <x v="40"/>
    <n v="10000"/>
    <n v="1"/>
    <n v="0"/>
    <n v="0"/>
    <x v="5"/>
    <x v="4"/>
    <s v="Custeio"/>
  </r>
  <r>
    <x v="41"/>
    <n v="4000"/>
    <n v="18"/>
    <n v="0"/>
    <n v="0"/>
    <x v="1"/>
    <x v="3"/>
    <s v="Custeio"/>
  </r>
  <r>
    <x v="42"/>
    <n v="4000"/>
    <n v="1"/>
    <n v="0"/>
    <n v="0"/>
    <x v="5"/>
    <x v="1"/>
    <s v="Custeio"/>
  </r>
  <r>
    <x v="43"/>
    <n v="2035"/>
    <n v="1"/>
    <n v="0"/>
    <n v="0"/>
    <x v="3"/>
    <x v="3"/>
    <s v="Custeio"/>
  </r>
  <r>
    <x v="44"/>
    <n v="350"/>
    <n v="1"/>
    <n v="0"/>
    <n v="0"/>
    <x v="3"/>
    <x v="3"/>
    <s v="Custeio"/>
  </r>
  <r>
    <x v="45"/>
    <n v="10000"/>
    <n v="1"/>
    <n v="0"/>
    <n v="0"/>
    <x v="5"/>
    <x v="3"/>
    <s v="Custeio"/>
  </r>
  <r>
    <x v="46"/>
    <n v="4000"/>
    <n v="1"/>
    <n v="0"/>
    <n v="0"/>
    <x v="5"/>
    <x v="3"/>
    <s v="Custeio"/>
  </r>
  <r>
    <x v="47"/>
    <n v="4000"/>
    <n v="1"/>
    <n v="0"/>
    <n v="0"/>
    <x v="5"/>
    <x v="2"/>
    <s v="Custeio"/>
  </r>
  <r>
    <x v="48"/>
    <n v="4000"/>
    <n v="1"/>
    <n v="0"/>
    <n v="0"/>
    <x v="5"/>
    <x v="4"/>
    <s v="Custeio"/>
  </r>
  <r>
    <x v="49"/>
    <n v="4000"/>
    <n v="1"/>
    <n v="2"/>
    <n v="8000"/>
    <x v="5"/>
    <x v="0"/>
    <s v="Custeio"/>
  </r>
  <r>
    <x v="50"/>
    <n v="4000"/>
    <n v="1"/>
    <n v="2"/>
    <n v="8000"/>
    <x v="5"/>
    <x v="0"/>
    <s v="Custeio"/>
  </r>
  <r>
    <x v="51"/>
    <n v="0"/>
    <n v="1"/>
    <n v="1"/>
    <n v="0"/>
    <x v="2"/>
    <x v="4"/>
    <s v="Custeio"/>
  </r>
  <r>
    <x v="52"/>
    <n v="100000"/>
    <n v="1"/>
    <n v="1"/>
    <n v="100000"/>
    <x v="2"/>
    <x v="0"/>
    <s v="Custeio"/>
  </r>
  <r>
    <x v="53"/>
    <n v="100000"/>
    <n v="1"/>
    <n v="1"/>
    <n v="100000"/>
    <x v="0"/>
    <x v="0"/>
    <s v="Capital"/>
  </r>
  <r>
    <x v="54"/>
    <n v="6500"/>
    <n v="1"/>
    <n v="1"/>
    <n v="6500"/>
    <x v="0"/>
    <x v="0"/>
    <s v="Capital"/>
  </r>
  <r>
    <x v="7"/>
    <n v="13590.5"/>
    <n v="1"/>
    <n v="0"/>
    <n v="0"/>
    <x v="0"/>
    <x v="4"/>
    <s v="Custei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18FD8-0E2C-495A-8316-22721E414EAD}" name="Tabela dinâ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E93" firstHeaderRow="0" firstDataRow="1" firstDataCol="1"/>
  <pivotFields count="8">
    <pivotField axis="axisRow" showAll="0">
      <items count="81">
        <item m="1" x="65"/>
        <item m="1" x="58"/>
        <item x="0"/>
        <item x="1"/>
        <item x="2"/>
        <item x="3"/>
        <item x="4"/>
        <item x="5"/>
        <item x="6"/>
        <item x="8"/>
        <item x="41"/>
        <item x="10"/>
        <item x="11"/>
        <item x="9"/>
        <item x="14"/>
        <item x="20"/>
        <item x="21"/>
        <item x="12"/>
        <item m="1" x="71"/>
        <item m="1" x="59"/>
        <item m="1" x="66"/>
        <item x="23"/>
        <item m="1" x="76"/>
        <item x="24"/>
        <item x="25"/>
        <item x="43"/>
        <item x="26"/>
        <item x="29"/>
        <item x="30"/>
        <item x="44"/>
        <item x="32"/>
        <item x="33"/>
        <item m="1" x="73"/>
        <item x="34"/>
        <item m="1" x="72"/>
        <item m="1" x="60"/>
        <item m="1" x="78"/>
        <item x="36"/>
        <item m="1" x="74"/>
        <item x="37"/>
        <item x="13"/>
        <item x="38"/>
        <item x="39"/>
        <item x="45"/>
        <item x="40"/>
        <item x="42"/>
        <item x="47"/>
        <item x="46"/>
        <item x="48"/>
        <item m="1" x="77"/>
        <item x="51"/>
        <item m="1" x="75"/>
        <item x="15"/>
        <item x="16"/>
        <item x="17"/>
        <item x="18"/>
        <item x="19"/>
        <item x="54"/>
        <item x="31"/>
        <item m="1" x="79"/>
        <item m="1" x="64"/>
        <item m="1" x="67"/>
        <item m="1" x="68"/>
        <item m="1" x="69"/>
        <item m="1" x="70"/>
        <item m="1" x="63"/>
        <item m="1" x="61"/>
        <item m="1" x="62"/>
        <item x="22"/>
        <item x="7"/>
        <item x="52"/>
        <item x="27"/>
        <item x="28"/>
        <item x="49"/>
        <item x="50"/>
        <item x="53"/>
        <item m="1" x="56"/>
        <item m="1" x="57"/>
        <item x="35"/>
        <item m="1" x="55"/>
        <item t="default"/>
      </items>
    </pivotField>
    <pivotField dataField="1" showAll="0"/>
    <pivotField dataField="1" showAll="0"/>
    <pivotField dataField="1" showAll="0"/>
    <pivotField dataField="1" numFmtId="164" showAll="0"/>
    <pivotField axis="axisRow" showAll="0">
      <items count="8">
        <item x="1"/>
        <item x="2"/>
        <item x="3"/>
        <item x="5"/>
        <item x="0"/>
        <item x="4"/>
        <item m="1" x="6"/>
        <item t="default"/>
      </items>
    </pivotField>
    <pivotField axis="axisRow" showAll="0">
      <items count="8">
        <item m="1" x="5"/>
        <item x="1"/>
        <item x="0"/>
        <item x="2"/>
        <item x="3"/>
        <item x="4"/>
        <item m="1" x="6"/>
        <item t="default"/>
      </items>
    </pivotField>
    <pivotField showAll="0"/>
  </pivotFields>
  <rowFields count="3">
    <field x="6"/>
    <field x="5"/>
    <field x="0"/>
  </rowFields>
  <rowItems count="90">
    <i>
      <x v="1"/>
    </i>
    <i r="1">
      <x/>
    </i>
    <i r="2">
      <x v="4"/>
    </i>
    <i r="2">
      <x v="8"/>
    </i>
    <i r="1">
      <x v="1"/>
    </i>
    <i r="2">
      <x v="40"/>
    </i>
    <i r="1">
      <x v="2"/>
    </i>
    <i r="2">
      <x v="23"/>
    </i>
    <i r="2">
      <x v="27"/>
    </i>
    <i r="1">
      <x v="3"/>
    </i>
    <i r="2">
      <x v="41"/>
    </i>
    <i r="2">
      <x v="45"/>
    </i>
    <i r="1">
      <x v="4"/>
    </i>
    <i r="2">
      <x v="69"/>
    </i>
    <i>
      <x v="2"/>
    </i>
    <i r="1">
      <x/>
    </i>
    <i r="2">
      <x v="12"/>
    </i>
    <i r="2">
      <x v="13"/>
    </i>
    <i r="2">
      <x v="15"/>
    </i>
    <i r="2">
      <x v="16"/>
    </i>
    <i r="2">
      <x v="17"/>
    </i>
    <i r="1">
      <x v="1"/>
    </i>
    <i r="2">
      <x v="40"/>
    </i>
    <i r="2">
      <x v="52"/>
    </i>
    <i r="2">
      <x v="53"/>
    </i>
    <i r="2">
      <x v="54"/>
    </i>
    <i r="2">
      <x v="55"/>
    </i>
    <i r="2">
      <x v="56"/>
    </i>
    <i r="2">
      <x v="70"/>
    </i>
    <i r="1">
      <x v="2"/>
    </i>
    <i r="2">
      <x v="71"/>
    </i>
    <i r="2">
      <x v="72"/>
    </i>
    <i r="1">
      <x v="3"/>
    </i>
    <i r="2">
      <x v="73"/>
    </i>
    <i r="2">
      <x v="74"/>
    </i>
    <i r="1">
      <x v="4"/>
    </i>
    <i r="2">
      <x v="2"/>
    </i>
    <i r="2">
      <x v="3"/>
    </i>
    <i r="2">
      <x v="21"/>
    </i>
    <i r="2">
      <x v="31"/>
    </i>
    <i r="2">
      <x v="33"/>
    </i>
    <i r="2">
      <x v="37"/>
    </i>
    <i r="2">
      <x v="57"/>
    </i>
    <i r="2">
      <x v="58"/>
    </i>
    <i r="2">
      <x v="75"/>
    </i>
    <i r="1">
      <x v="5"/>
    </i>
    <i r="2">
      <x v="39"/>
    </i>
    <i r="2">
      <x v="78"/>
    </i>
    <i>
      <x v="3"/>
    </i>
    <i r="1">
      <x/>
    </i>
    <i r="2">
      <x v="5"/>
    </i>
    <i r="2">
      <x v="9"/>
    </i>
    <i r="1">
      <x v="1"/>
    </i>
    <i r="2">
      <x v="40"/>
    </i>
    <i r="1">
      <x v="2"/>
    </i>
    <i r="2">
      <x v="24"/>
    </i>
    <i r="2">
      <x v="28"/>
    </i>
    <i r="1">
      <x v="3"/>
    </i>
    <i r="2">
      <x v="42"/>
    </i>
    <i r="2">
      <x v="46"/>
    </i>
    <i r="1">
      <x v="4"/>
    </i>
    <i r="2">
      <x v="69"/>
    </i>
    <i>
      <x v="4"/>
    </i>
    <i r="1">
      <x/>
    </i>
    <i r="2">
      <x v="6"/>
    </i>
    <i r="2">
      <x v="10"/>
    </i>
    <i r="2">
      <x v="14"/>
    </i>
    <i r="1">
      <x v="2"/>
    </i>
    <i r="2">
      <x v="25"/>
    </i>
    <i r="2">
      <x v="29"/>
    </i>
    <i r="1">
      <x v="3"/>
    </i>
    <i r="2">
      <x v="43"/>
    </i>
    <i r="2">
      <x v="47"/>
    </i>
    <i r="1">
      <x v="4"/>
    </i>
    <i r="2">
      <x v="68"/>
    </i>
    <i>
      <x v="5"/>
    </i>
    <i r="1">
      <x/>
    </i>
    <i r="2">
      <x v="7"/>
    </i>
    <i r="2">
      <x v="11"/>
    </i>
    <i r="1">
      <x v="1"/>
    </i>
    <i r="2">
      <x v="50"/>
    </i>
    <i r="1">
      <x v="2"/>
    </i>
    <i r="2">
      <x v="26"/>
    </i>
    <i r="2">
      <x v="30"/>
    </i>
    <i r="1">
      <x v="3"/>
    </i>
    <i r="2">
      <x v="44"/>
    </i>
    <i r="2">
      <x v="48"/>
    </i>
    <i r="1">
      <x v="4"/>
    </i>
    <i r="2">
      <x v="6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Valor Unitário" fld="1" baseField="0" baseItem="0"/>
    <dataField name="Soma de nº períodos" fld="2" baseField="0" baseItem="0"/>
    <dataField name="Soma de Qtde" fld="3" baseField="0" baseItem="0"/>
    <dataField name="Soma de Total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00F9F6-04DA-4C6C-AEA0-F76068D82106}" name="tdim_por_categoria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65" firstHeaderRow="0" firstDataRow="1" firstDataCol="1"/>
  <pivotFields count="8">
    <pivotField axis="axisRow" showAll="0">
      <items count="81">
        <item m="1" x="65"/>
        <item m="1" x="58"/>
        <item x="0"/>
        <item x="1"/>
        <item x="2"/>
        <item x="3"/>
        <item x="4"/>
        <item x="5"/>
        <item x="6"/>
        <item x="8"/>
        <item x="41"/>
        <item x="10"/>
        <item x="11"/>
        <item x="9"/>
        <item x="14"/>
        <item x="20"/>
        <item x="21"/>
        <item x="12"/>
        <item m="1" x="71"/>
        <item m="1" x="59"/>
        <item m="1" x="66"/>
        <item x="23"/>
        <item m="1" x="76"/>
        <item x="24"/>
        <item x="25"/>
        <item x="43"/>
        <item x="26"/>
        <item x="29"/>
        <item x="30"/>
        <item x="44"/>
        <item x="32"/>
        <item x="33"/>
        <item m="1" x="73"/>
        <item x="34"/>
        <item m="1" x="72"/>
        <item m="1" x="60"/>
        <item m="1" x="78"/>
        <item x="36"/>
        <item m="1" x="74"/>
        <item x="37"/>
        <item x="13"/>
        <item x="38"/>
        <item x="39"/>
        <item x="45"/>
        <item x="40"/>
        <item x="42"/>
        <item x="47"/>
        <item x="46"/>
        <item x="48"/>
        <item m="1" x="77"/>
        <item x="51"/>
        <item m="1" x="75"/>
        <item x="15"/>
        <item x="16"/>
        <item x="17"/>
        <item x="18"/>
        <item x="19"/>
        <item x="54"/>
        <item x="31"/>
        <item m="1" x="79"/>
        <item m="1" x="64"/>
        <item m="1" x="67"/>
        <item m="1" x="68"/>
        <item m="1" x="69"/>
        <item m="1" x="70"/>
        <item m="1" x="63"/>
        <item m="1" x="61"/>
        <item m="1" x="62"/>
        <item x="22"/>
        <item x="7"/>
        <item x="52"/>
        <item x="27"/>
        <item x="28"/>
        <item x="49"/>
        <item x="50"/>
        <item x="53"/>
        <item m="1" x="56"/>
        <item m="1" x="57"/>
        <item x="35"/>
        <item m="1" x="55"/>
        <item t="default"/>
      </items>
    </pivotField>
    <pivotField dataField="1" showAll="0"/>
    <pivotField dataField="1" showAll="0"/>
    <pivotField dataField="1" showAll="0"/>
    <pivotField dataField="1" numFmtId="164" showAll="0"/>
    <pivotField axis="axisRow" showAll="0">
      <items count="8">
        <item x="1"/>
        <item x="2"/>
        <item x="3"/>
        <item x="5"/>
        <item x="0"/>
        <item x="4"/>
        <item m="1" x="6"/>
        <item t="default"/>
      </items>
    </pivotField>
    <pivotField showAll="0"/>
    <pivotField showAll="0"/>
  </pivotFields>
  <rowFields count="2">
    <field x="5"/>
    <field x="0"/>
  </rowFields>
  <rowItems count="62">
    <i>
      <x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1"/>
    </i>
    <i r="1">
      <x v="40"/>
    </i>
    <i r="1">
      <x v="50"/>
    </i>
    <i r="1">
      <x v="52"/>
    </i>
    <i r="1">
      <x v="53"/>
    </i>
    <i r="1">
      <x v="54"/>
    </i>
    <i r="1">
      <x v="55"/>
    </i>
    <i r="1">
      <x v="56"/>
    </i>
    <i r="1">
      <x v="70"/>
    </i>
    <i>
      <x v="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71"/>
    </i>
    <i r="1">
      <x v="72"/>
    </i>
    <i>
      <x v="3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73"/>
    </i>
    <i r="1">
      <x v="74"/>
    </i>
    <i>
      <x v="4"/>
    </i>
    <i r="1">
      <x v="2"/>
    </i>
    <i r="1">
      <x v="3"/>
    </i>
    <i r="1">
      <x v="21"/>
    </i>
    <i r="1">
      <x v="31"/>
    </i>
    <i r="1">
      <x v="33"/>
    </i>
    <i r="1">
      <x v="37"/>
    </i>
    <i r="1">
      <x v="57"/>
    </i>
    <i r="1">
      <x v="58"/>
    </i>
    <i r="1">
      <x v="68"/>
    </i>
    <i r="1">
      <x v="69"/>
    </i>
    <i r="1">
      <x v="75"/>
    </i>
    <i>
      <x v="5"/>
    </i>
    <i r="1">
      <x v="39"/>
    </i>
    <i r="1">
      <x v="7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Valor Unitário" fld="1" baseField="0" baseItem="0"/>
    <dataField name="Soma de nº períodos" fld="2" baseField="0" baseItem="0"/>
    <dataField name="Soma de Qtde" fld="3" baseField="0" baseItem="0"/>
    <dataField name="Soma de Total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1F4D98D-86F0-4983-A33F-79F5BC281D63}" name="tab_principal9" displayName="tab_principal9" ref="A2:E61" totalsRowShown="0" headerRowDxfId="6" dataDxfId="5">
  <autoFilter ref="A2:E61" xr:uid="{D68948A5-30C3-466D-B47B-90DD5AC84D31}">
    <filterColumn colId="3">
      <filters>
        <filter val="1"/>
        <filter val="14"/>
        <filter val="2"/>
        <filter val="4"/>
      </filters>
    </filterColumn>
  </autoFilter>
  <sortState xmlns:xlrd2="http://schemas.microsoft.com/office/spreadsheetml/2017/richdata2" ref="A3:E60">
    <sortCondition ref="A2:A61"/>
  </sortState>
  <tableColumns count="5">
    <tableColumn id="1" xr3:uid="{1A7A61E4-642C-4D2E-B2FC-6B6A3B844F8B}" name="Item" dataDxfId="4"/>
    <tableColumn id="4" xr3:uid="{8B717D2D-33DD-417C-99F3-EAF2713902B6}" name="Valor Unitário" dataDxfId="3">
      <calculatedColumnFormula>aux!$C$13</calculatedColumnFormula>
    </tableColumn>
    <tableColumn id="5" xr3:uid="{5CCCB8DA-9EDE-42C5-B1C3-DA02ABC67FCD}" name="nº períodos" dataDxfId="2"/>
    <tableColumn id="6" xr3:uid="{58AD7069-41C6-4FED-994C-34484EC8A847}" name="Qtde" dataDxfId="1"/>
    <tableColumn id="7" xr3:uid="{35A1AAC2-FDFF-4D1B-AB71-5A94D7B8CA36}" name="Total" dataDxfId="0">
      <calculatedColumnFormula>tab_principal9[[#This Row],[Valor Unitário]]*tab_principal9[[#This Row],[nº períodos]]*tab_principal9[[#This Row],[Qtde]]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8948A5-30C3-466D-B47B-90DD5AC84D31}" name="tab_principal" displayName="tab_principal" ref="A2:H61" totalsRowShown="0" headerRowDxfId="74" dataDxfId="73">
  <autoFilter ref="A2:H61" xr:uid="{D68948A5-30C3-466D-B47B-90DD5AC84D31}">
    <filterColumn colId="3">
      <filters>
        <filter val="1"/>
        <filter val="14"/>
        <filter val="2"/>
        <filter val="4"/>
      </filters>
    </filterColumn>
  </autoFilter>
  <sortState xmlns:xlrd2="http://schemas.microsoft.com/office/spreadsheetml/2017/richdata2" ref="A3:H60">
    <sortCondition ref="A2:A61"/>
  </sortState>
  <tableColumns count="8">
    <tableColumn id="1" xr3:uid="{B5976CFE-E1C4-4E6E-BF4C-5F82BFD3C629}" name="Item" dataDxfId="72"/>
    <tableColumn id="4" xr3:uid="{742330ED-E4E8-429A-A914-F38BBC882000}" name="Valor Unitário" dataDxfId="71">
      <calculatedColumnFormula>aux!$C$13</calculatedColumnFormula>
    </tableColumn>
    <tableColumn id="5" xr3:uid="{0CB7E232-AD38-4CE4-9E7B-AA128A786779}" name="nº períodos" dataDxfId="70"/>
    <tableColumn id="6" xr3:uid="{031A12E2-C039-4ED2-8D92-897F4F058357}" name="Qtde" dataDxfId="69"/>
    <tableColumn id="7" xr3:uid="{C9546A7F-6CE2-47FB-8472-8DA312EFE23E}" name="Total" dataDxfId="68">
      <calculatedColumnFormula>tab_principal[[#This Row],[Valor Unitário]]*tab_principal[[#This Row],[nº períodos]]*tab_principal[[#This Row],[Qtde]]</calculatedColumnFormula>
    </tableColumn>
    <tableColumn id="2" xr3:uid="{6C9AAFE8-1AFF-4B8D-9686-34ACA54ECD78}" name="Categoria" dataDxfId="67"/>
    <tableColumn id="9" xr3:uid="{2A0FEA4C-142B-4206-9D38-3A9F0F7CF1E1}" name="Cota de quem" dataDxfId="66"/>
    <tableColumn id="8" xr3:uid="{9D8AB91A-0417-4006-B9C3-37D9BF5AF0DF}" name="Tipo de Verba" dataDxfId="65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C2212E-B216-445C-A6E5-F82205A4722B}" name="Tabela5123" displayName="Tabela5123" ref="B6:D13" totalsRowCount="1" headerRowDxfId="64" dataDxfId="63" totalsRowDxfId="62">
  <autoFilter ref="B6:D12" xr:uid="{5EC2212E-B216-445C-A6E5-F82205A4722B}">
    <filterColumn colId="0" hiddenButton="1"/>
    <filterColumn colId="1" hiddenButton="1"/>
    <filterColumn colId="2" hiddenButton="1"/>
  </autoFilter>
  <tableColumns count="3">
    <tableColumn id="1" xr3:uid="{E7B4D666-D109-44EB-8A82-EB847A720EC2}" name="Orçamento Consolidado por Categoria" totalsRowLabel="Total" dataDxfId="61" totalsRowDxfId="60"/>
    <tableColumn id="2" xr3:uid="{D27A6383-1117-4F3D-8C46-5EA5A30B6D46}" name="Categoria" dataDxfId="59" totalsRowDxfId="58"/>
    <tableColumn id="3" xr3:uid="{4A3DA651-F679-4CAB-9B23-B9173BBA0369}" name="R$" totalsRowFunction="sum" dataDxfId="57" totalsRowDxfId="56">
      <calculatedColumnFormula>SUMIFS(tab_principal[Total],tab_principal[Categoria],Tabela5123[[#This Row],[Categoria]])</calculatedColumnFormula>
    </tableColumn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50E443-607F-48E8-BB2C-100057241084}" name="Tabela10136" displayName="Tabela10136" ref="B15:D18" totalsRowCount="1" headerRowDxfId="55" dataDxfId="54" totalsRowDxfId="53">
  <autoFilter ref="B15:D17" xr:uid="{DE50E443-607F-48E8-BB2C-100057241084}">
    <filterColumn colId="0" hiddenButton="1"/>
    <filterColumn colId="1" hiddenButton="1"/>
    <filterColumn colId="2" hiddenButton="1"/>
  </autoFilter>
  <tableColumns count="3">
    <tableColumn id="1" xr3:uid="{12F9C47C-71F7-48BC-BD9C-442055B958FB}" name="Tipo de Despesa" totalsRowLabel="Total" dataDxfId="52" totalsRowDxfId="51"/>
    <tableColumn id="2" xr3:uid="{C727CF43-35B8-4035-988D-687D9628E389}" name="Total (R$)" totalsRowFunction="sum" dataDxfId="50" totalsRowDxfId="49" totalsRowCellStyle="Moeda">
      <calculatedColumnFormula>SUMIFS(tab_principal[Total],tab_principal[Tipo de Verba],Tabela10136[[#This Row],[Tipo de Despesa]])</calculatedColumnFormula>
    </tableColumn>
    <tableColumn id="3" xr3:uid="{112BD8B4-0597-4BF9-8A78-02E0B093DA73}" name="Proporção" totalsRowFunction="sum" dataDxfId="48" totalsRowDxfId="47">
      <calculatedColumnFormula>Tabela10136[[#This Row],[Total (R$)]]/Tabela10136[[#Totals],[Total (R$)]]</calculatedColumnFormula>
    </tableColumn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D8FE41F-6389-44B8-B011-C1317AEA8D2A}" name="Tabela10" displayName="Tabela10" ref="B1:C4" totalsRowShown="0" headerRowDxfId="46">
  <autoFilter ref="B1:C4" xr:uid="{1D8FE41F-6389-44B8-B011-C1317AEA8D2A}">
    <filterColumn colId="0" hiddenButton="1"/>
    <filterColumn colId="1" hiddenButton="1"/>
  </autoFilter>
  <tableColumns count="2">
    <tableColumn id="1" xr3:uid="{B1687405-A592-444A-8D24-C9FE2A6A5290}" name="Valores Finais do Orçamento" dataDxfId="45"/>
    <tableColumn id="2" xr3:uid="{BDE539B3-EDEA-4EB2-A2FD-0383D47DCFB7}" name="Valor" dataDxfId="44" dataCellStyle="Moeda">
      <calculatedColumnFormula>SUM(tab_principal[Total])</calculatedColumnFormula>
    </tableColumn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8837186-B30A-43D9-B5FB-0CA932D052DD}" name="Tabela11" displayName="Tabela11" ref="B25:D30" totalsRowCount="1" headerRowDxfId="43" dataDxfId="42">
  <autoFilter ref="B25:D29" xr:uid="{68837186-B30A-43D9-B5FB-0CA932D052DD}">
    <filterColumn colId="0" hiddenButton="1"/>
    <filterColumn colId="1" hiddenButton="1"/>
    <filterColumn colId="2" hiddenButton="1"/>
  </autoFilter>
  <tableColumns count="3">
    <tableColumn id="2" xr3:uid="{614F9B3E-800C-4900-8BE0-3DE30DD38D26}" name="Cotista" dataDxfId="41" totalsRowDxfId="40"/>
    <tableColumn id="3" xr3:uid="{EE5AB674-44F1-4DF4-AD13-1A9E4416AE71}" name="Valor" totalsRowFunction="sum" dataDxfId="39" totalsRowDxfId="38" dataCellStyle="Moeda">
      <calculatedColumnFormula>SUMIFS(tab_principal[Total],tab_principal[Cota de quem],Tabela11[[#This Row],[Cotista]])</calculatedColumnFormula>
    </tableColumn>
    <tableColumn id="4" xr3:uid="{2F57FA0D-7DDC-4A89-A1FF-AC1A4C317C3D}" name="Falta Utilizar" totalsRowFunction="sum" dataDxfId="37" totalsRowDxfId="36">
      <calculatedColumnFormula>$C$23-Tabela11[[#This Row],[Valor]]</calculatedColumnFormula>
    </tableColumn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1A876D9-8DC5-4CA8-89F1-87211EFA7197}" name="Tabela12" displayName="Tabela12" ref="B20:C23" totalsRowShown="0" headerRowDxfId="35">
  <autoFilter ref="B20:C23" xr:uid="{B1A876D9-8DC5-4CA8-89F1-87211EFA7197}">
    <filterColumn colId="0" hiddenButton="1"/>
    <filterColumn colId="1" hiddenButton="1"/>
  </autoFilter>
  <tableColumns count="2">
    <tableColumn id="1" xr3:uid="{B040673A-E209-4249-9E97-7C0C10C56DAA}" name="Cálculo geral das cotas" dataDxfId="34"/>
    <tableColumn id="2" xr3:uid="{65C9F3C9-63C6-469D-989A-CE73D3CAC9AD}" name="Valor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712A4E2-975A-4826-BCF7-7A6FA10182D9}" name="Tabela9" displayName="Tabela9" ref="C2:F7" totalsRowCount="1" headerRowDxfId="33" dataDxfId="32" totalsRowDxfId="31">
  <autoFilter ref="C2:F6" xr:uid="{6712A4E2-975A-4826-BCF7-7A6FA10182D9}">
    <filterColumn colId="0" hiddenButton="1"/>
    <filterColumn colId="1" hiddenButton="1"/>
    <filterColumn colId="2" hiddenButton="1"/>
    <filterColumn colId="3" hiddenButton="1"/>
  </autoFilter>
  <tableColumns count="4">
    <tableColumn id="1" xr3:uid="{E9F30040-B0C1-4CD0-BB5C-4230EE8287E5}" name="Especificação" totalsRowLabel="Total" dataDxfId="30" totalsRowDxfId="29"/>
    <tableColumn id="2" xr3:uid="{2CEE8483-7582-4583-AD70-1A7EB6A379CD}" name="Sal./mês (R$)" dataDxfId="28"/>
    <tableColumn id="3" xr3:uid="{B5F26BBF-57FD-4888-9987-01F75923E8F1}" name="6h/sem (R$)" dataDxfId="27">
      <calculatedColumnFormula>D3*$E$1</calculatedColumnFormula>
    </tableColumn>
    <tableColumn id="4" xr3:uid="{D8E7B912-6C23-4487-9566-C4B05D8E7B64}" name="18 meses(R$)" totalsRowFunction="sum" dataDxfId="26">
      <calculatedColumnFormula>E3*$F$1</calculatedColumnFormula>
    </tableColumn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9F7040-1634-445A-85AD-FBB2947C5F3B}" name="Tabela617302" displayName="Tabela617302" ref="B16:F39" totalsRowCount="1" dataDxfId="24" headerRowBorderDxfId="25" tableBorderDxfId="23">
  <autoFilter ref="B16:F38" xr:uid="{2F9F7040-1634-445A-85AD-FBB2947C5F3B}"/>
  <tableColumns count="5">
    <tableColumn id="1" xr3:uid="{DDF445CB-2601-47FE-B1DB-4B358D38B08A}" name="Item" totalsRowLabel="Total" dataDxfId="22"/>
    <tableColumn id="2" xr3:uid="{64B096AF-7985-4901-9E92-B60743890373}" name="Valor unitário" dataDxfId="21"/>
    <tableColumn id="3" xr3:uid="{EED17910-4686-4A96-8210-97E50F8C0FD3}" name="Meses/Anos" dataDxfId="20"/>
    <tableColumn id="5" xr3:uid="{A4E68549-DB0D-4CB6-9586-406CCF4A1BC8}" name="Qtde" dataDxfId="19"/>
    <tableColumn id="4" xr3:uid="{85EF7702-DE23-4388-87F9-5A972BFD1E10}" name="Total" totalsRowFunction="sum" dataDxfId="18" totalsRowDxfId="17">
      <calculatedColumnFormula>Tabela617302[[#This Row],[Meses/Anos]]*Tabela617302[[#This Row],[Valor unitário]]*Tabela617302[[#This Row],[Qtde]]</calculatedColumnFormula>
    </tableColumn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E9047D-86AB-480E-A3A8-7FD43AC11DD3}" name="Tabela6244" displayName="Tabela6244" ref="B42:E60" totalsRowCount="1" dataDxfId="15" headerRowBorderDxfId="16" tableBorderDxfId="14">
  <autoFilter ref="B42:E59" xr:uid="{F0E9047D-86AB-480E-A3A8-7FD43AC11DD3}"/>
  <tableColumns count="4">
    <tableColumn id="1" xr3:uid="{6F415963-4063-4159-AACC-19C31F64B17C}" name="Item" totalsRowLabel="Total" dataDxfId="13"/>
    <tableColumn id="2" xr3:uid="{674827EF-4358-43B6-8413-FBFF74A05CC0}" name="Valor unitário" dataDxfId="12"/>
    <tableColumn id="3" xr3:uid="{44F1556B-1209-403A-A11B-725041AF839C}" name="Qtde" dataDxfId="11"/>
    <tableColumn id="4" xr3:uid="{FB7C68F5-C76B-411E-BB94-B1E1263A220C}" name="Total" totalsRowFunction="sum" dataDxfId="10" totalsRowDxfId="9">
      <calculatedColumnFormula>Tabela6244[[#This Row],[Valor unitário]]*Tabela6244[[#This Row],[Qtde]]</calculatedColumnFormula>
    </tableColumn>
  </tableColumns>
  <tableStyleInfo name="TableStyleMedium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D2907B-81ED-437E-ACF6-38A0B28774F1}" name="Tabela6" displayName="Tabela6" ref="B2:E8" totalsRowShown="0">
  <autoFilter ref="B2:E8" xr:uid="{56D2907B-81ED-437E-ACF6-38A0B28774F1}"/>
  <tableColumns count="4">
    <tableColumn id="1" xr3:uid="{C48B5D0E-C076-4D8A-880D-C03473586931}" name="Categorias"/>
    <tableColumn id="2" xr3:uid="{FCD29CD5-1391-415F-88BF-F6B735844043}" name="Tipo da Cota"/>
    <tableColumn id="3" xr3:uid="{AAC9B436-3D6D-47A0-949C-5F8D9C7F45AA}" name="Cota de quem"/>
    <tableColumn id="4" xr3:uid="{FA128455-67EC-452A-84C6-08D9C7D450C7}" name="Tipo de Verba"/>
  </tableColumns>
  <tableStyleInfo name="TableStyleMedium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4672D8-1FA9-4FB8-B4D9-87C4B3E87104}" name="Tabela7" displayName="Tabela7" ref="B11:C18" totalsRowShown="0" headerRowDxfId="8">
  <autoFilter ref="B11:C18" xr:uid="{BE4672D8-1FA9-4FB8-B4D9-87C4B3E87104}"/>
  <tableColumns count="2">
    <tableColumn id="1" xr3:uid="{E52AEDB4-C6E7-45B1-BEA8-81BF604D96ED}" name="Valor de cada Bolsa"/>
    <tableColumn id="2" xr3:uid="{05EC02BB-150C-4185-8C4F-821679AAAD0F}" name="Valor no projeto" dataDxfId="7" dataCellStyle="Moed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pajunk.com/us/products/pain-management/fes-nmes-tens/" TargetMode="External"/><Relationship Id="rId2" Type="http://schemas.openxmlformats.org/officeDocument/2006/relationships/hyperlink" Target="https://www.fftai.com/products-exomotus-m4" TargetMode="External"/><Relationship Id="rId1" Type="http://schemas.openxmlformats.org/officeDocument/2006/relationships/hyperlink" Target="https://en.wandercraft.eu/atalante-x-rehabilitation-exoskeleton" TargetMode="Externa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1D32-92C0-4C96-93C3-B837C801BC42}">
  <dimension ref="A1:I117"/>
  <sheetViews>
    <sheetView tabSelected="1" zoomScaleNormal="100" workbookViewId="0">
      <selection activeCell="A3" sqref="A3:E60"/>
    </sheetView>
  </sheetViews>
  <sheetFormatPr defaultRowHeight="15" x14ac:dyDescent="0.25"/>
  <cols>
    <col min="1" max="1" width="69.85546875" style="47" customWidth="1"/>
    <col min="2" max="2" width="15.42578125" style="47" customWidth="1"/>
    <col min="3" max="4" width="9.140625" style="47"/>
    <col min="5" max="5" width="15.28515625" bestFit="1" customWidth="1"/>
    <col min="6" max="6" width="8.140625" style="47" customWidth="1"/>
    <col min="7" max="7" width="15.28515625" style="47" bestFit="1" customWidth="1"/>
    <col min="8" max="8" width="17" style="47" customWidth="1"/>
    <col min="9" max="9" width="9.7109375" style="52" customWidth="1"/>
    <col min="10" max="13" width="9.140625" style="47"/>
    <col min="14" max="14" width="29.7109375" style="47" customWidth="1"/>
    <col min="15" max="16384" width="9.140625" style="47"/>
  </cols>
  <sheetData>
    <row r="1" spans="1:9" x14ac:dyDescent="0.25">
      <c r="A1" s="46"/>
      <c r="B1" s="46"/>
      <c r="C1" s="46"/>
      <c r="D1" s="46"/>
      <c r="E1" s="54"/>
      <c r="I1" s="47"/>
    </row>
    <row r="2" spans="1:9" ht="30" x14ac:dyDescent="0.25">
      <c r="A2" s="53" t="s">
        <v>21</v>
      </c>
      <c r="B2" s="53" t="s">
        <v>14</v>
      </c>
      <c r="C2" s="53" t="s">
        <v>106</v>
      </c>
      <c r="D2" s="53" t="s">
        <v>23</v>
      </c>
      <c r="E2" s="53" t="s">
        <v>7</v>
      </c>
      <c r="I2" s="47"/>
    </row>
    <row r="3" spans="1:9" x14ac:dyDescent="0.25">
      <c r="A3" s="49" t="s">
        <v>75</v>
      </c>
      <c r="B3" s="83">
        <v>7500</v>
      </c>
      <c r="C3" s="48">
        <v>1</v>
      </c>
      <c r="D3" s="48">
        <v>1</v>
      </c>
      <c r="E3" s="85">
        <f>tab_principal9[[#This Row],[Valor Unitário]]*tab_principal9[[#This Row],[nº períodos]]*tab_principal9[[#This Row],[Qtde]]</f>
        <v>7500</v>
      </c>
      <c r="I3" s="47"/>
    </row>
    <row r="4" spans="1:9" x14ac:dyDescent="0.25">
      <c r="A4" s="49" t="s">
        <v>71</v>
      </c>
      <c r="B4" s="83">
        <v>3000</v>
      </c>
      <c r="C4" s="48">
        <v>1</v>
      </c>
      <c r="D4" s="48">
        <v>1</v>
      </c>
      <c r="E4" s="85">
        <f>tab_principal9[[#This Row],[Valor Unitário]]*tab_principal9[[#This Row],[nº períodos]]*tab_principal9[[#This Row],[Qtde]]</f>
        <v>3000</v>
      </c>
      <c r="I4" s="47"/>
    </row>
    <row r="5" spans="1:9" x14ac:dyDescent="0.25">
      <c r="A5" s="49" t="s">
        <v>143</v>
      </c>
      <c r="B5" s="83">
        <v>6900</v>
      </c>
      <c r="C5" s="48">
        <v>18</v>
      </c>
      <c r="D5" s="48">
        <v>1</v>
      </c>
      <c r="E5" s="85">
        <f>tab_principal9[[#This Row],[Valor Unitário]]*tab_principal9[[#This Row],[nº períodos]]*tab_principal9[[#This Row],[Qtde]]</f>
        <v>124200</v>
      </c>
      <c r="I5" s="47"/>
    </row>
    <row r="6" spans="1:9" x14ac:dyDescent="0.25">
      <c r="A6" s="49" t="s">
        <v>142</v>
      </c>
      <c r="B6" s="83">
        <v>6900</v>
      </c>
      <c r="C6" s="48">
        <v>18</v>
      </c>
      <c r="D6" s="48">
        <v>1</v>
      </c>
      <c r="E6" s="85">
        <f>tab_principal9[[#This Row],[Valor Unitário]]*tab_principal9[[#This Row],[nº períodos]]*tab_principal9[[#This Row],[Qtde]]</f>
        <v>124200</v>
      </c>
      <c r="I6" s="47"/>
    </row>
    <row r="7" spans="1:9" x14ac:dyDescent="0.25">
      <c r="A7" s="49" t="s">
        <v>141</v>
      </c>
      <c r="B7" s="83">
        <v>6900</v>
      </c>
      <c r="C7" s="48">
        <v>18</v>
      </c>
      <c r="D7" s="48">
        <v>1</v>
      </c>
      <c r="E7" s="85">
        <f>tab_principal9[[#This Row],[Valor Unitário]]*tab_principal9[[#This Row],[nº períodos]]*tab_principal9[[#This Row],[Qtde]]</f>
        <v>124200</v>
      </c>
      <c r="I7" s="47"/>
    </row>
    <row r="8" spans="1:9" x14ac:dyDescent="0.25">
      <c r="A8" s="49" t="s">
        <v>140</v>
      </c>
      <c r="B8" s="83">
        <v>6900</v>
      </c>
      <c r="C8" s="48">
        <v>18</v>
      </c>
      <c r="D8" s="48">
        <v>1</v>
      </c>
      <c r="E8" s="85">
        <f>tab_principal9[[#This Row],[Valor Unitário]]*tab_principal9[[#This Row],[nº períodos]]*tab_principal9[[#This Row],[Qtde]]</f>
        <v>124200</v>
      </c>
      <c r="I8" s="47"/>
    </row>
    <row r="9" spans="1:9" x14ac:dyDescent="0.25">
      <c r="A9" s="49" t="s">
        <v>147</v>
      </c>
      <c r="B9" s="83">
        <v>4000</v>
      </c>
      <c r="C9" s="48">
        <v>18</v>
      </c>
      <c r="D9" s="48">
        <v>1</v>
      </c>
      <c r="E9" s="85">
        <f>tab_principal9[[#This Row],[Valor Unitário]]*tab_principal9[[#This Row],[nº períodos]]*tab_principal9[[#This Row],[Qtde]]</f>
        <v>72000</v>
      </c>
      <c r="I9" s="47"/>
    </row>
    <row r="10" spans="1:9" hidden="1" x14ac:dyDescent="0.25">
      <c r="A10" s="49" t="s">
        <v>174</v>
      </c>
      <c r="B10" s="50">
        <v>13590.5</v>
      </c>
      <c r="C10" s="48">
        <v>1</v>
      </c>
      <c r="D10" s="48">
        <v>0</v>
      </c>
      <c r="E10" s="55">
        <f>tab_principal9[[#This Row],[Valor Unitário]]*tab_principal9[[#This Row],[nº períodos]]*tab_principal9[[#This Row],[Qtde]]</f>
        <v>0</v>
      </c>
      <c r="I10" s="47"/>
    </row>
    <row r="11" spans="1:9" x14ac:dyDescent="0.25">
      <c r="A11" s="49" t="s">
        <v>146</v>
      </c>
      <c r="B11" s="83">
        <v>4000</v>
      </c>
      <c r="C11" s="48">
        <v>18</v>
      </c>
      <c r="D11" s="48">
        <v>1</v>
      </c>
      <c r="E11" s="85">
        <f>tab_principal9[[#This Row],[Valor Unitário]]*tab_principal9[[#This Row],[nº períodos]]*tab_principal9[[#This Row],[Qtde]]</f>
        <v>72000</v>
      </c>
      <c r="I11" s="47"/>
    </row>
    <row r="12" spans="1:9" hidden="1" x14ac:dyDescent="0.25">
      <c r="A12" s="49" t="s">
        <v>114</v>
      </c>
      <c r="B12" s="50">
        <v>3000</v>
      </c>
      <c r="C12" s="48">
        <v>18</v>
      </c>
      <c r="D12" s="48">
        <v>0</v>
      </c>
      <c r="E12" s="55">
        <f>tab_principal9[[#This Row],[Valor Unitário]]*tab_principal9[[#This Row],[nº períodos]]*tab_principal9[[#This Row],[Qtde]]</f>
        <v>0</v>
      </c>
      <c r="I12" s="47"/>
    </row>
    <row r="13" spans="1:9" x14ac:dyDescent="0.25">
      <c r="A13" s="49" t="s">
        <v>144</v>
      </c>
      <c r="B13" s="83">
        <v>4000</v>
      </c>
      <c r="C13" s="48">
        <v>18</v>
      </c>
      <c r="D13" s="48">
        <v>1</v>
      </c>
      <c r="E13" s="85">
        <f>tab_principal9[[#This Row],[Valor Unitário]]*tab_principal9[[#This Row],[nº períodos]]*tab_principal9[[#This Row],[Qtde]]</f>
        <v>72000</v>
      </c>
      <c r="I13" s="47"/>
    </row>
    <row r="14" spans="1:9" x14ac:dyDescent="0.25">
      <c r="A14" s="49" t="s">
        <v>115</v>
      </c>
      <c r="B14" s="83">
        <v>1500</v>
      </c>
      <c r="C14" s="48">
        <v>18</v>
      </c>
      <c r="D14" s="48">
        <v>2</v>
      </c>
      <c r="E14" s="85">
        <f>tab_principal9[[#This Row],[Valor Unitário]]*tab_principal9[[#This Row],[nº períodos]]*tab_principal9[[#This Row],[Qtde]]</f>
        <v>54000</v>
      </c>
      <c r="I14" s="47"/>
    </row>
    <row r="15" spans="1:9" hidden="1" x14ac:dyDescent="0.25">
      <c r="A15" s="49" t="s">
        <v>121</v>
      </c>
      <c r="B15" s="50">
        <v>2100</v>
      </c>
      <c r="C15" s="48">
        <v>18</v>
      </c>
      <c r="D15" s="48">
        <v>0</v>
      </c>
      <c r="E15" s="55">
        <f>tab_principal9[[#This Row],[Valor Unitário]]*tab_principal9[[#This Row],[nº períodos]]*tab_principal9[[#This Row],[Qtde]]</f>
        <v>0</v>
      </c>
      <c r="I15" s="47"/>
    </row>
    <row r="16" spans="1:9" hidden="1" x14ac:dyDescent="0.25">
      <c r="A16" s="76" t="s">
        <v>103</v>
      </c>
      <c r="B16" s="77">
        <v>0</v>
      </c>
      <c r="C16" s="78">
        <v>1</v>
      </c>
      <c r="D16" s="78">
        <v>0</v>
      </c>
      <c r="E16" s="79">
        <f>tab_principal9[[#This Row],[Valor Unitário]]*tab_principal9[[#This Row],[nº períodos]]*tab_principal9[[#This Row],[Qtde]]</f>
        <v>0</v>
      </c>
      <c r="I16" s="47"/>
    </row>
    <row r="17" spans="1:9" x14ac:dyDescent="0.25">
      <c r="A17" s="49" t="s">
        <v>161</v>
      </c>
      <c r="B17" s="83">
        <v>3000</v>
      </c>
      <c r="C17" s="48">
        <v>18</v>
      </c>
      <c r="D17" s="48">
        <v>1</v>
      </c>
      <c r="E17" s="85">
        <f>tab_principal9[[#This Row],[Valor Unitário]]*tab_principal9[[#This Row],[nº períodos]]*tab_principal9[[#This Row],[Qtde]]</f>
        <v>54000</v>
      </c>
      <c r="I17" s="47"/>
    </row>
    <row r="18" spans="1:9" hidden="1" x14ac:dyDescent="0.25">
      <c r="A18" s="76" t="s">
        <v>129</v>
      </c>
      <c r="B18" s="77">
        <f>5*12*aux!$C$20</f>
        <v>330</v>
      </c>
      <c r="C18" s="78">
        <v>2</v>
      </c>
      <c r="D18" s="78">
        <v>0</v>
      </c>
      <c r="E18" s="79">
        <f>tab_principal9[[#This Row],[Valor Unitário]]*tab_principal9[[#This Row],[nº períodos]]*tab_principal9[[#This Row],[Qtde]]</f>
        <v>0</v>
      </c>
      <c r="I18" s="47"/>
    </row>
    <row r="19" spans="1:9" hidden="1" x14ac:dyDescent="0.25">
      <c r="A19" s="76" t="s">
        <v>128</v>
      </c>
      <c r="B19" s="77">
        <f>10*aux!$C$20</f>
        <v>55</v>
      </c>
      <c r="C19" s="78">
        <v>18</v>
      </c>
      <c r="D19" s="78">
        <v>0</v>
      </c>
      <c r="E19" s="79">
        <f>tab_principal9[[#This Row],[Valor Unitário]]*tab_principal9[[#This Row],[nº períodos]]*tab_principal9[[#This Row],[Qtde]]</f>
        <v>0</v>
      </c>
      <c r="I19" s="47"/>
    </row>
    <row r="20" spans="1:9" hidden="1" x14ac:dyDescent="0.25">
      <c r="A20" s="76" t="s">
        <v>127</v>
      </c>
      <c r="B20" s="77">
        <v>22</v>
      </c>
      <c r="C20" s="78">
        <v>18</v>
      </c>
      <c r="D20" s="78">
        <v>0</v>
      </c>
      <c r="E20" s="79">
        <f>tab_principal9[[#This Row],[Valor Unitário]]*tab_principal9[[#This Row],[nº períodos]]*tab_principal9[[#This Row],[Qtde]]</f>
        <v>0</v>
      </c>
      <c r="I20" s="47"/>
    </row>
    <row r="21" spans="1:9" hidden="1" x14ac:dyDescent="0.25">
      <c r="A21" s="49" t="s">
        <v>77</v>
      </c>
      <c r="B21" s="50">
        <v>15000</v>
      </c>
      <c r="C21" s="48">
        <v>1</v>
      </c>
      <c r="D21" s="48">
        <v>0</v>
      </c>
      <c r="E21" s="55">
        <f>tab_principal9[[#This Row],[Valor Unitário]]*tab_principal9[[#This Row],[nº períodos]]*tab_principal9[[#This Row],[Qtde]]</f>
        <v>0</v>
      </c>
      <c r="I21" s="47"/>
    </row>
    <row r="22" spans="1:9" hidden="1" x14ac:dyDescent="0.25">
      <c r="A22" s="49" t="s">
        <v>81</v>
      </c>
      <c r="B22" s="50">
        <v>396</v>
      </c>
      <c r="C22" s="48">
        <v>2</v>
      </c>
      <c r="D22" s="48">
        <v>0</v>
      </c>
      <c r="E22" s="55">
        <f>tab_principal9[[#This Row],[Valor Unitário]]*tab_principal9[[#This Row],[nº períodos]]*tab_principal9[[#This Row],[Qtde]]</f>
        <v>0</v>
      </c>
      <c r="I22" s="47"/>
    </row>
    <row r="23" spans="1:9" x14ac:dyDescent="0.25">
      <c r="A23" s="49" t="s">
        <v>113</v>
      </c>
      <c r="B23" s="83">
        <v>7200</v>
      </c>
      <c r="C23" s="48">
        <v>18</v>
      </c>
      <c r="D23" s="48">
        <v>1</v>
      </c>
      <c r="E23" s="85">
        <f>tab_principal9[[#This Row],[Valor Unitário]]*tab_principal9[[#This Row],[nº períodos]]*tab_principal9[[#This Row],[Qtde]]</f>
        <v>129600</v>
      </c>
      <c r="I23" s="47"/>
    </row>
    <row r="24" spans="1:9" x14ac:dyDescent="0.25">
      <c r="A24" s="49" t="s">
        <v>122</v>
      </c>
      <c r="B24" s="83">
        <v>1100</v>
      </c>
      <c r="C24" s="48">
        <v>18</v>
      </c>
      <c r="D24" s="48">
        <v>2</v>
      </c>
      <c r="E24" s="85">
        <f>tab_principal9[[#This Row],[Valor Unitário]]*tab_principal9[[#This Row],[nº períodos]]*tab_principal9[[#This Row],[Qtde]]</f>
        <v>39600</v>
      </c>
      <c r="I24" s="47"/>
    </row>
    <row r="25" spans="1:9" x14ac:dyDescent="0.25">
      <c r="A25" s="49" t="s">
        <v>168</v>
      </c>
      <c r="B25" s="83">
        <v>18000</v>
      </c>
      <c r="C25" s="48">
        <v>1</v>
      </c>
      <c r="D25" s="48">
        <v>1</v>
      </c>
      <c r="E25" s="85">
        <f>tab_principal9[[#This Row],[Valor Unitário]]*tab_principal9[[#This Row],[nº períodos]]*tab_principal9[[#This Row],[Qtde]]</f>
        <v>18000</v>
      </c>
      <c r="I25" s="47"/>
    </row>
    <row r="26" spans="1:9" x14ac:dyDescent="0.25">
      <c r="A26" s="49" t="s">
        <v>139</v>
      </c>
      <c r="B26" s="83">
        <v>15000</v>
      </c>
      <c r="C26" s="48">
        <v>1</v>
      </c>
      <c r="D26" s="48">
        <v>4</v>
      </c>
      <c r="E26" s="85">
        <f>tab_principal9[[#This Row],[Valor Unitário]]*tab_principal9[[#This Row],[nº períodos]]*tab_principal9[[#This Row],[Qtde]]</f>
        <v>60000</v>
      </c>
      <c r="I26" s="47"/>
    </row>
    <row r="27" spans="1:9" hidden="1" x14ac:dyDescent="0.25">
      <c r="A27" s="49" t="s">
        <v>138</v>
      </c>
      <c r="B27" s="50">
        <v>2035</v>
      </c>
      <c r="C27" s="48">
        <v>1</v>
      </c>
      <c r="D27" s="48">
        <v>0</v>
      </c>
      <c r="E27" s="55">
        <f>tab_principal9[[#This Row],[Valor Unitário]]*tab_principal9[[#This Row],[nº períodos]]*tab_principal9[[#This Row],[Qtde]]</f>
        <v>0</v>
      </c>
      <c r="I27" s="47"/>
    </row>
    <row r="28" spans="1:9" hidden="1" x14ac:dyDescent="0.25">
      <c r="A28" s="49" t="s">
        <v>135</v>
      </c>
      <c r="B28" s="50">
        <v>2035</v>
      </c>
      <c r="C28" s="48">
        <v>1</v>
      </c>
      <c r="D28" s="48">
        <v>0</v>
      </c>
      <c r="E28" s="55">
        <f>tab_principal9[[#This Row],[Valor Unitário]]*tab_principal9[[#This Row],[nº períodos]]*tab_principal9[[#This Row],[Qtde]]</f>
        <v>0</v>
      </c>
      <c r="I28" s="47"/>
    </row>
    <row r="29" spans="1:9" hidden="1" x14ac:dyDescent="0.25">
      <c r="A29" s="49" t="s">
        <v>131</v>
      </c>
      <c r="B29" s="50">
        <v>2035</v>
      </c>
      <c r="C29" s="48">
        <v>1</v>
      </c>
      <c r="D29" s="48">
        <v>0</v>
      </c>
      <c r="E29" s="55">
        <f>tab_principal9[[#This Row],[Valor Unitário]]*tab_principal9[[#This Row],[nº períodos]]*tab_principal9[[#This Row],[Qtde]]</f>
        <v>0</v>
      </c>
      <c r="I29" s="47"/>
    </row>
    <row r="30" spans="1:9" x14ac:dyDescent="0.25">
      <c r="A30" s="49" t="s">
        <v>171</v>
      </c>
      <c r="B30" s="83">
        <v>350</v>
      </c>
      <c r="C30" s="48">
        <v>1</v>
      </c>
      <c r="D30" s="48">
        <v>14</v>
      </c>
      <c r="E30" s="85">
        <f>tab_principal9[[#This Row],[Valor Unitário]]*tab_principal9[[#This Row],[nº períodos]]*tab_principal9[[#This Row],[Qtde]]</f>
        <v>4900</v>
      </c>
      <c r="I30" s="47"/>
    </row>
    <row r="31" spans="1:9" x14ac:dyDescent="0.25">
      <c r="A31" s="49" t="s">
        <v>173</v>
      </c>
      <c r="B31" s="83">
        <v>350</v>
      </c>
      <c r="C31" s="48">
        <v>1</v>
      </c>
      <c r="D31" s="48">
        <v>4</v>
      </c>
      <c r="E31" s="85">
        <f>tab_principal9[[#This Row],[Valor Unitário]]*tab_principal9[[#This Row],[nº períodos]]*tab_principal9[[#This Row],[Qtde]]</f>
        <v>1400</v>
      </c>
      <c r="I31" s="47"/>
    </row>
    <row r="32" spans="1:9" hidden="1" x14ac:dyDescent="0.25">
      <c r="A32" s="49" t="s">
        <v>137</v>
      </c>
      <c r="B32" s="50">
        <v>350</v>
      </c>
      <c r="C32" s="48">
        <v>1</v>
      </c>
      <c r="D32" s="48">
        <v>0</v>
      </c>
      <c r="E32" s="55">
        <f>tab_principal9[[#This Row],[Valor Unitário]]*tab_principal9[[#This Row],[nº períodos]]*tab_principal9[[#This Row],[Qtde]]</f>
        <v>0</v>
      </c>
      <c r="I32" s="47"/>
    </row>
    <row r="33" spans="1:9" hidden="1" x14ac:dyDescent="0.25">
      <c r="A33" s="49" t="s">
        <v>136</v>
      </c>
      <c r="B33" s="50">
        <v>350</v>
      </c>
      <c r="C33" s="48">
        <v>1</v>
      </c>
      <c r="D33" s="48">
        <v>0</v>
      </c>
      <c r="E33" s="55">
        <f>tab_principal9[[#This Row],[Valor Unitário]]*tab_principal9[[#This Row],[nº períodos]]*tab_principal9[[#This Row],[Qtde]]</f>
        <v>0</v>
      </c>
      <c r="I33" s="47"/>
    </row>
    <row r="34" spans="1:9" hidden="1" x14ac:dyDescent="0.25">
      <c r="A34" s="49" t="s">
        <v>76</v>
      </c>
      <c r="B34" s="50">
        <v>100000</v>
      </c>
      <c r="C34" s="48">
        <v>1</v>
      </c>
      <c r="D34" s="48">
        <v>0</v>
      </c>
      <c r="E34" s="55">
        <f>tab_principal9[[#This Row],[Valor Unitário]]*tab_principal9[[#This Row],[nº períodos]]*tab_principal9[[#This Row],[Qtde]]</f>
        <v>0</v>
      </c>
      <c r="I34" s="47"/>
    </row>
    <row r="35" spans="1:9" hidden="1" x14ac:dyDescent="0.25">
      <c r="A35" s="49" t="s">
        <v>132</v>
      </c>
      <c r="B35" s="50">
        <v>350</v>
      </c>
      <c r="C35" s="48">
        <v>1</v>
      </c>
      <c r="D35" s="48">
        <v>0</v>
      </c>
      <c r="E35" s="55">
        <f>tab_principal9[[#This Row],[Valor Unitário]]*tab_principal9[[#This Row],[nº períodos]]*tab_principal9[[#This Row],[Qtde]]</f>
        <v>0</v>
      </c>
      <c r="I35" s="47"/>
    </row>
    <row r="36" spans="1:9" x14ac:dyDescent="0.25">
      <c r="A36" s="49" t="s">
        <v>70</v>
      </c>
      <c r="B36" s="83">
        <v>50000</v>
      </c>
      <c r="C36" s="48">
        <v>1</v>
      </c>
      <c r="D36" s="48">
        <v>1</v>
      </c>
      <c r="E36" s="85">
        <f>tab_principal9[[#This Row],[Valor Unitário]]*tab_principal9[[#This Row],[nº períodos]]*tab_principal9[[#This Row],[Qtde]]</f>
        <v>50000</v>
      </c>
      <c r="I36" s="47"/>
    </row>
    <row r="37" spans="1:9" x14ac:dyDescent="0.25">
      <c r="A37" s="49" t="s">
        <v>27</v>
      </c>
      <c r="B37" s="83">
        <v>1000000</v>
      </c>
      <c r="C37" s="48">
        <v>1</v>
      </c>
      <c r="D37" s="48">
        <v>1</v>
      </c>
      <c r="E37" s="85">
        <f>tab_principal9[[#This Row],[Valor Unitário]]*tab_principal9[[#This Row],[nº períodos]]*tab_principal9[[#This Row],[Qtde]]</f>
        <v>1000000</v>
      </c>
      <c r="I37" s="47"/>
    </row>
    <row r="38" spans="1:9" x14ac:dyDescent="0.25">
      <c r="A38" s="49" t="s">
        <v>177</v>
      </c>
      <c r="B38" s="83">
        <f>0.15*Consolidado!C3</f>
        <v>436800</v>
      </c>
      <c r="C38" s="48">
        <v>1</v>
      </c>
      <c r="D38" s="48">
        <v>1</v>
      </c>
      <c r="E38" s="85">
        <f>tab_principal9[[#This Row],[Valor Unitário]]*tab_principal9[[#This Row],[nº períodos]]*tab_principal9[[#This Row],[Qtde]]</f>
        <v>436800</v>
      </c>
      <c r="I38" s="47"/>
    </row>
    <row r="39" spans="1:9" x14ac:dyDescent="0.25">
      <c r="A39" s="49" t="s">
        <v>73</v>
      </c>
      <c r="B39" s="83">
        <v>17900</v>
      </c>
      <c r="C39" s="48">
        <v>1</v>
      </c>
      <c r="D39" s="48">
        <v>1</v>
      </c>
      <c r="E39" s="85">
        <f>tab_principal9[[#This Row],[Valor Unitário]]*tab_principal9[[#This Row],[nº períodos]]*tab_principal9[[#This Row],[Qtde]]</f>
        <v>17900</v>
      </c>
      <c r="I39" s="47"/>
    </row>
    <row r="40" spans="1:9" x14ac:dyDescent="0.25">
      <c r="A40" s="49" t="s">
        <v>28</v>
      </c>
      <c r="B40" s="83">
        <v>100000</v>
      </c>
      <c r="C40" s="48">
        <v>1</v>
      </c>
      <c r="D40" s="48">
        <v>1</v>
      </c>
      <c r="E40" s="85">
        <f>tab_principal9[[#This Row],[Valor Unitário]]*tab_principal9[[#This Row],[nº períodos]]*tab_principal9[[#This Row],[Qtde]]</f>
        <v>100000</v>
      </c>
      <c r="I40" s="47"/>
    </row>
    <row r="41" spans="1:9" x14ac:dyDescent="0.25">
      <c r="A41" s="76" t="s">
        <v>103</v>
      </c>
      <c r="B41" s="84">
        <v>0</v>
      </c>
      <c r="C41" s="78">
        <v>1</v>
      </c>
      <c r="D41" s="78">
        <v>1</v>
      </c>
      <c r="E41" s="86">
        <f>tab_principal9[[#This Row],[Valor Unitário]]*tab_principal9[[#This Row],[nº períodos]]*tab_principal9[[#This Row],[Qtde]]</f>
        <v>0</v>
      </c>
      <c r="I41" s="47"/>
    </row>
    <row r="42" spans="1:9" x14ac:dyDescent="0.25">
      <c r="A42" s="49" t="s">
        <v>103</v>
      </c>
      <c r="B42" s="83">
        <v>0</v>
      </c>
      <c r="C42" s="48">
        <v>1</v>
      </c>
      <c r="D42" s="48">
        <v>1</v>
      </c>
      <c r="E42" s="85">
        <f>tab_principal9[[#This Row],[Valor Unitário]]*tab_principal9[[#This Row],[nº períodos]]*tab_principal9[[#This Row],[Qtde]]</f>
        <v>0</v>
      </c>
      <c r="I42" s="47"/>
    </row>
    <row r="43" spans="1:9" hidden="1" x14ac:dyDescent="0.25">
      <c r="A43" s="49" t="s">
        <v>101</v>
      </c>
      <c r="B43" s="50">
        <v>10000</v>
      </c>
      <c r="C43" s="48">
        <v>1</v>
      </c>
      <c r="D43" s="48">
        <v>0</v>
      </c>
      <c r="E43" s="55">
        <f>tab_principal9[[#This Row],[Valor Unitário]]*tab_principal9[[#This Row],[nº períodos]]*tab_principal9[[#This Row],[Qtde]]</f>
        <v>0</v>
      </c>
      <c r="I43" s="47"/>
    </row>
    <row r="44" spans="1:9" hidden="1" x14ac:dyDescent="0.25">
      <c r="A44" s="49" t="s">
        <v>99</v>
      </c>
      <c r="B44" s="50">
        <v>10000</v>
      </c>
      <c r="C44" s="48">
        <v>1</v>
      </c>
      <c r="D44" s="48">
        <v>0</v>
      </c>
      <c r="E44" s="55">
        <f>tab_principal9[[#This Row],[Valor Unitário]]*tab_principal9[[#This Row],[nº períodos]]*tab_principal9[[#This Row],[Qtde]]</f>
        <v>0</v>
      </c>
      <c r="I44" s="47"/>
    </row>
    <row r="45" spans="1:9" hidden="1" x14ac:dyDescent="0.25">
      <c r="A45" s="49" t="s">
        <v>174</v>
      </c>
      <c r="B45" s="50">
        <v>13590.5</v>
      </c>
      <c r="C45" s="48">
        <v>1</v>
      </c>
      <c r="D45" s="48">
        <v>0</v>
      </c>
      <c r="E45" s="55">
        <f>tab_principal9[[#This Row],[Valor Unitário]]*tab_principal9[[#This Row],[nº períodos]]*tab_principal9[[#This Row],[Qtde]]</f>
        <v>0</v>
      </c>
      <c r="I45" s="47"/>
    </row>
    <row r="46" spans="1:9" hidden="1" x14ac:dyDescent="0.25">
      <c r="A46" s="49" t="s">
        <v>95</v>
      </c>
      <c r="B46" s="50">
        <v>10000</v>
      </c>
      <c r="C46" s="48">
        <v>1</v>
      </c>
      <c r="D46" s="48">
        <v>0</v>
      </c>
      <c r="E46" s="55">
        <f>tab_principal9[[#This Row],[Valor Unitário]]*tab_principal9[[#This Row],[nº períodos]]*tab_principal9[[#This Row],[Qtde]]</f>
        <v>0</v>
      </c>
      <c r="I46" s="47"/>
    </row>
    <row r="47" spans="1:9" hidden="1" x14ac:dyDescent="0.25">
      <c r="A47" s="49" t="s">
        <v>145</v>
      </c>
      <c r="B47" s="50">
        <v>4000</v>
      </c>
      <c r="C47" s="48">
        <v>18</v>
      </c>
      <c r="D47" s="48">
        <v>0</v>
      </c>
      <c r="E47" s="55">
        <f>tab_principal9[[#This Row],[Valor Unitário]]*tab_principal9[[#This Row],[nº períodos]]*tab_principal9[[#This Row],[Qtde]]</f>
        <v>0</v>
      </c>
      <c r="I47" s="47"/>
    </row>
    <row r="48" spans="1:9" hidden="1" x14ac:dyDescent="0.25">
      <c r="A48" s="49" t="s">
        <v>102</v>
      </c>
      <c r="B48" s="50">
        <v>4000</v>
      </c>
      <c r="C48" s="48">
        <v>1</v>
      </c>
      <c r="D48" s="48">
        <v>0</v>
      </c>
      <c r="E48" s="55">
        <f>tab_principal9[[#This Row],[Valor Unitário]]*tab_principal9[[#This Row],[nº períodos]]*tab_principal9[[#This Row],[Qtde]]</f>
        <v>0</v>
      </c>
      <c r="I48" s="47"/>
    </row>
    <row r="49" spans="1:9" hidden="1" x14ac:dyDescent="0.25">
      <c r="A49" s="49" t="s">
        <v>133</v>
      </c>
      <c r="B49" s="50">
        <v>2035</v>
      </c>
      <c r="C49" s="48">
        <v>1</v>
      </c>
      <c r="D49" s="48">
        <v>0</v>
      </c>
      <c r="E49" s="55">
        <f>tab_principal9[[#This Row],[Valor Unitário]]*tab_principal9[[#This Row],[nº períodos]]*tab_principal9[[#This Row],[Qtde]]</f>
        <v>0</v>
      </c>
      <c r="I49" s="47"/>
    </row>
    <row r="50" spans="1:9" hidden="1" x14ac:dyDescent="0.25">
      <c r="A50" s="49" t="s">
        <v>134</v>
      </c>
      <c r="B50" s="50">
        <v>350</v>
      </c>
      <c r="C50" s="48">
        <v>1</v>
      </c>
      <c r="D50" s="48">
        <v>0</v>
      </c>
      <c r="E50" s="55">
        <f>tab_principal9[[#This Row],[Valor Unitário]]*tab_principal9[[#This Row],[nº períodos]]*tab_principal9[[#This Row],[Qtde]]</f>
        <v>0</v>
      </c>
      <c r="I50" s="47"/>
    </row>
    <row r="51" spans="1:9" hidden="1" x14ac:dyDescent="0.25">
      <c r="A51" s="49" t="s">
        <v>98</v>
      </c>
      <c r="B51" s="50">
        <v>10000</v>
      </c>
      <c r="C51" s="48">
        <v>1</v>
      </c>
      <c r="D51" s="48">
        <v>0</v>
      </c>
      <c r="E51" s="55">
        <f>tab_principal9[[#This Row],[Valor Unitário]]*tab_principal9[[#This Row],[nº períodos]]*tab_principal9[[#This Row],[Qtde]]</f>
        <v>0</v>
      </c>
      <c r="I51" s="47"/>
    </row>
    <row r="52" spans="1:9" hidden="1" x14ac:dyDescent="0.25">
      <c r="A52" s="49" t="s">
        <v>96</v>
      </c>
      <c r="B52" s="50">
        <v>4000</v>
      </c>
      <c r="C52" s="48">
        <v>1</v>
      </c>
      <c r="D52" s="48">
        <v>0</v>
      </c>
      <c r="E52" s="55">
        <f>tab_principal9[[#This Row],[Valor Unitário]]*tab_principal9[[#This Row],[nº períodos]]*tab_principal9[[#This Row],[Qtde]]</f>
        <v>0</v>
      </c>
      <c r="I52" s="47"/>
    </row>
    <row r="53" spans="1:9" hidden="1" x14ac:dyDescent="0.25">
      <c r="A53" s="49" t="s">
        <v>100</v>
      </c>
      <c r="B53" s="50">
        <v>4000</v>
      </c>
      <c r="C53" s="48">
        <v>1</v>
      </c>
      <c r="D53" s="48">
        <v>0</v>
      </c>
      <c r="E53" s="55">
        <f>tab_principal9[[#This Row],[Valor Unitário]]*tab_principal9[[#This Row],[nº períodos]]*tab_principal9[[#This Row],[Qtde]]</f>
        <v>0</v>
      </c>
      <c r="I53" s="47"/>
    </row>
    <row r="54" spans="1:9" hidden="1" x14ac:dyDescent="0.25">
      <c r="A54" s="49" t="s">
        <v>97</v>
      </c>
      <c r="B54" s="50">
        <v>4000</v>
      </c>
      <c r="C54" s="48">
        <v>1</v>
      </c>
      <c r="D54" s="48">
        <v>0</v>
      </c>
      <c r="E54" s="55">
        <f>tab_principal9[[#This Row],[Valor Unitário]]*tab_principal9[[#This Row],[nº períodos]]*tab_principal9[[#This Row],[Qtde]]</f>
        <v>0</v>
      </c>
      <c r="I54" s="47"/>
    </row>
    <row r="55" spans="1:9" x14ac:dyDescent="0.25">
      <c r="A55" s="49" t="s">
        <v>170</v>
      </c>
      <c r="B55" s="83">
        <v>4000</v>
      </c>
      <c r="C55" s="48">
        <v>1</v>
      </c>
      <c r="D55" s="48">
        <v>2</v>
      </c>
      <c r="E55" s="85">
        <f>tab_principal9[[#This Row],[Valor Unitário]]*tab_principal9[[#This Row],[nº períodos]]*tab_principal9[[#This Row],[Qtde]]</f>
        <v>8000</v>
      </c>
      <c r="I55" s="47"/>
    </row>
    <row r="56" spans="1:9" x14ac:dyDescent="0.25">
      <c r="A56" s="49" t="s">
        <v>172</v>
      </c>
      <c r="B56" s="83">
        <v>4000</v>
      </c>
      <c r="C56" s="48">
        <v>1</v>
      </c>
      <c r="D56" s="48">
        <v>2</v>
      </c>
      <c r="E56" s="85">
        <f>tab_principal9[[#This Row],[Valor Unitário]]*tab_principal9[[#This Row],[nº períodos]]*tab_principal9[[#This Row],[Qtde]]</f>
        <v>8000</v>
      </c>
      <c r="I56" s="47"/>
    </row>
    <row r="57" spans="1:9" x14ac:dyDescent="0.25">
      <c r="A57" s="49" t="s">
        <v>24</v>
      </c>
      <c r="B57" s="83">
        <v>0</v>
      </c>
      <c r="C57" s="48">
        <v>1</v>
      </c>
      <c r="D57" s="48">
        <v>1</v>
      </c>
      <c r="E57" s="85">
        <f>tab_principal9[[#This Row],[Valor Unitário]]*tab_principal9[[#This Row],[nº períodos]]*tab_principal9[[#This Row],[Qtde]]</f>
        <v>0</v>
      </c>
    </row>
    <row r="58" spans="1:9" x14ac:dyDescent="0.25">
      <c r="A58" s="76" t="s">
        <v>175</v>
      </c>
      <c r="B58" s="84">
        <v>100000</v>
      </c>
      <c r="C58" s="78">
        <v>1</v>
      </c>
      <c r="D58" s="78">
        <v>1</v>
      </c>
      <c r="E58" s="86">
        <f>tab_principal9[[#This Row],[Valor Unitário]]*tab_principal9[[#This Row],[nº períodos]]*tab_principal9[[#This Row],[Qtde]]</f>
        <v>100000</v>
      </c>
    </row>
    <row r="59" spans="1:9" x14ac:dyDescent="0.25">
      <c r="A59" s="49" t="s">
        <v>176</v>
      </c>
      <c r="B59" s="83">
        <v>100000</v>
      </c>
      <c r="C59" s="48">
        <v>1</v>
      </c>
      <c r="D59" s="48">
        <v>1</v>
      </c>
      <c r="E59" s="85">
        <f>tab_principal9[[#This Row],[Valor Unitário]]*tab_principal9[[#This Row],[nº períodos]]*tab_principal9[[#This Row],[Qtde]]</f>
        <v>100000</v>
      </c>
    </row>
    <row r="60" spans="1:9" x14ac:dyDescent="0.25">
      <c r="A60" s="49" t="s">
        <v>74</v>
      </c>
      <c r="B60" s="83">
        <v>6500</v>
      </c>
      <c r="C60" s="48">
        <v>1</v>
      </c>
      <c r="D60" s="48">
        <v>1</v>
      </c>
      <c r="E60" s="85">
        <f>tab_principal9[[#This Row],[Valor Unitário]]*tab_principal9[[#This Row],[nº períodos]]*tab_principal9[[#This Row],[Qtde]]</f>
        <v>6500</v>
      </c>
    </row>
    <row r="61" spans="1:9" hidden="1" x14ac:dyDescent="0.25">
      <c r="A61" s="49" t="s">
        <v>174</v>
      </c>
      <c r="B61" s="50">
        <v>13590.5</v>
      </c>
      <c r="C61" s="48">
        <v>1</v>
      </c>
      <c r="D61" s="48">
        <v>0</v>
      </c>
      <c r="E61" s="55">
        <f>tab_principal9[[#This Row],[Valor Unitário]]*tab_principal9[[#This Row],[nº períodos]]*tab_principal9[[#This Row],[Qtde]]</f>
        <v>0</v>
      </c>
    </row>
    <row r="62" spans="1:9" x14ac:dyDescent="0.25">
      <c r="A62"/>
      <c r="B62"/>
      <c r="C62"/>
    </row>
    <row r="63" spans="1:9" x14ac:dyDescent="0.25">
      <c r="A63"/>
      <c r="B63"/>
      <c r="C63"/>
    </row>
    <row r="64" spans="1:9" x14ac:dyDescent="0.25">
      <c r="A64"/>
      <c r="B64"/>
      <c r="C64"/>
    </row>
    <row r="65" spans="1:3" x14ac:dyDescent="0.25">
      <c r="A65"/>
      <c r="B65"/>
      <c r="C65"/>
    </row>
    <row r="66" spans="1:3" x14ac:dyDescent="0.25">
      <c r="A66"/>
    </row>
    <row r="67" spans="1:3" x14ac:dyDescent="0.25">
      <c r="A67"/>
    </row>
    <row r="68" spans="1:3" x14ac:dyDescent="0.25">
      <c r="A68"/>
    </row>
    <row r="69" spans="1:3" x14ac:dyDescent="0.25">
      <c r="A69"/>
    </row>
    <row r="70" spans="1:3" x14ac:dyDescent="0.25">
      <c r="A70"/>
    </row>
    <row r="71" spans="1:3" x14ac:dyDescent="0.25">
      <c r="A71"/>
    </row>
    <row r="72" spans="1:3" x14ac:dyDescent="0.25">
      <c r="A72"/>
    </row>
    <row r="73" spans="1:3" x14ac:dyDescent="0.25">
      <c r="A73"/>
    </row>
    <row r="74" spans="1:3" x14ac:dyDescent="0.25">
      <c r="A74"/>
    </row>
    <row r="75" spans="1:3" x14ac:dyDescent="0.25">
      <c r="A75"/>
    </row>
    <row r="76" spans="1:3" x14ac:dyDescent="0.25">
      <c r="A76"/>
    </row>
    <row r="77" spans="1:3" x14ac:dyDescent="0.25">
      <c r="A77"/>
    </row>
    <row r="78" spans="1:3" x14ac:dyDescent="0.25">
      <c r="A78"/>
    </row>
    <row r="79" spans="1:3" x14ac:dyDescent="0.25">
      <c r="A79"/>
    </row>
    <row r="80" spans="1:3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FC4B-0F2C-4176-935B-AEE1224B6441}">
  <dimension ref="A1:L117"/>
  <sheetViews>
    <sheetView topLeftCell="A14" zoomScaleNormal="100" workbookViewId="0">
      <selection activeCell="B17" sqref="B17"/>
    </sheetView>
  </sheetViews>
  <sheetFormatPr defaultRowHeight="15" x14ac:dyDescent="0.25"/>
  <cols>
    <col min="1" max="1" width="69.85546875" style="47" customWidth="1"/>
    <col min="2" max="2" width="15.42578125" style="47" customWidth="1"/>
    <col min="3" max="4" width="9.140625" style="47"/>
    <col min="5" max="5" width="15.28515625" bestFit="1" customWidth="1"/>
    <col min="6" max="6" width="12.85546875" style="47" customWidth="1"/>
    <col min="7" max="7" width="12.28515625" style="47" customWidth="1"/>
    <col min="8" max="8" width="9.140625" style="47"/>
    <col min="9" max="9" width="8.140625" style="47" customWidth="1"/>
    <col min="10" max="10" width="15.28515625" style="47" bestFit="1" customWidth="1"/>
    <col min="11" max="11" width="17" style="47" customWidth="1"/>
    <col min="12" max="12" width="9.7109375" style="52" customWidth="1"/>
    <col min="13" max="16" width="9.140625" style="47"/>
    <col min="17" max="17" width="29.7109375" style="47" customWidth="1"/>
    <col min="18" max="16384" width="9.140625" style="47"/>
  </cols>
  <sheetData>
    <row r="1" spans="1:12" x14ac:dyDescent="0.25">
      <c r="A1" s="46"/>
      <c r="B1" s="46"/>
      <c r="C1" s="46"/>
      <c r="D1" s="46"/>
      <c r="E1" s="54"/>
      <c r="F1" s="46"/>
      <c r="G1" s="46"/>
      <c r="H1" s="46"/>
      <c r="L1" s="47"/>
    </row>
    <row r="2" spans="1:12" ht="30" x14ac:dyDescent="0.25">
      <c r="A2" s="53" t="s">
        <v>21</v>
      </c>
      <c r="B2" s="53" t="s">
        <v>14</v>
      </c>
      <c r="C2" s="53" t="s">
        <v>106</v>
      </c>
      <c r="D2" s="53" t="s">
        <v>23</v>
      </c>
      <c r="E2" s="53" t="s">
        <v>7</v>
      </c>
      <c r="F2" s="53" t="s">
        <v>104</v>
      </c>
      <c r="G2" s="53" t="s">
        <v>116</v>
      </c>
      <c r="H2" s="53" t="s">
        <v>8</v>
      </c>
      <c r="L2" s="47"/>
    </row>
    <row r="3" spans="1:12" x14ac:dyDescent="0.25">
      <c r="A3" s="49" t="s">
        <v>75</v>
      </c>
      <c r="B3" s="50">
        <v>7500</v>
      </c>
      <c r="C3" s="48">
        <v>1</v>
      </c>
      <c r="D3" s="48">
        <v>1</v>
      </c>
      <c r="E3" s="55">
        <f>tab_principal[[#This Row],[Valor Unitário]]*tab_principal[[#This Row],[nº períodos]]*tab_principal[[#This Row],[Qtde]]</f>
        <v>7500</v>
      </c>
      <c r="F3" s="49" t="s">
        <v>124</v>
      </c>
      <c r="G3" s="51" t="s">
        <v>111</v>
      </c>
      <c r="H3" s="48" t="s">
        <v>120</v>
      </c>
      <c r="L3" s="47"/>
    </row>
    <row r="4" spans="1:12" x14ac:dyDescent="0.25">
      <c r="A4" s="49" t="s">
        <v>71</v>
      </c>
      <c r="B4" s="50">
        <v>3000</v>
      </c>
      <c r="C4" s="48">
        <v>1</v>
      </c>
      <c r="D4" s="48">
        <v>1</v>
      </c>
      <c r="E4" s="55">
        <f>tab_principal[[#This Row],[Valor Unitário]]*tab_principal[[#This Row],[nº períodos]]*tab_principal[[#This Row],[Qtde]]</f>
        <v>3000</v>
      </c>
      <c r="F4" s="49" t="s">
        <v>124</v>
      </c>
      <c r="G4" s="51" t="s">
        <v>111</v>
      </c>
      <c r="H4" s="48" t="s">
        <v>120</v>
      </c>
      <c r="L4" s="47"/>
    </row>
    <row r="5" spans="1:12" x14ac:dyDescent="0.25">
      <c r="A5" s="49" t="s">
        <v>143</v>
      </c>
      <c r="B5" s="50">
        <v>6900</v>
      </c>
      <c r="C5" s="48">
        <v>18</v>
      </c>
      <c r="D5" s="48">
        <v>1</v>
      </c>
      <c r="E5" s="55">
        <f>tab_principal[[#This Row],[Valor Unitário]]*tab_principal[[#This Row],[nº períodos]]*tab_principal[[#This Row],[Qtde]]</f>
        <v>124200</v>
      </c>
      <c r="F5" s="51" t="s">
        <v>108</v>
      </c>
      <c r="G5" s="51" t="s">
        <v>118</v>
      </c>
      <c r="H5" s="48" t="s">
        <v>119</v>
      </c>
      <c r="L5" s="47"/>
    </row>
    <row r="6" spans="1:12" x14ac:dyDescent="0.25">
      <c r="A6" s="49" t="s">
        <v>142</v>
      </c>
      <c r="B6" s="50">
        <v>6900</v>
      </c>
      <c r="C6" s="48">
        <v>18</v>
      </c>
      <c r="D6" s="48">
        <v>1</v>
      </c>
      <c r="E6" s="55">
        <f>tab_principal[[#This Row],[Valor Unitário]]*tab_principal[[#This Row],[nº períodos]]*tab_principal[[#This Row],[Qtde]]</f>
        <v>124200</v>
      </c>
      <c r="F6" s="51" t="s">
        <v>108</v>
      </c>
      <c r="G6" s="51" t="s">
        <v>117</v>
      </c>
      <c r="H6" s="48" t="s">
        <v>119</v>
      </c>
      <c r="L6" s="47"/>
    </row>
    <row r="7" spans="1:12" x14ac:dyDescent="0.25">
      <c r="A7" s="49" t="s">
        <v>141</v>
      </c>
      <c r="B7" s="50">
        <v>6900</v>
      </c>
      <c r="C7" s="48">
        <v>18</v>
      </c>
      <c r="D7" s="48">
        <v>1</v>
      </c>
      <c r="E7" s="55">
        <f>tab_principal[[#This Row],[Valor Unitário]]*tab_principal[[#This Row],[nº períodos]]*tab_principal[[#This Row],[Qtde]]</f>
        <v>124200</v>
      </c>
      <c r="F7" s="51" t="s">
        <v>108</v>
      </c>
      <c r="G7" s="51" t="s">
        <v>61</v>
      </c>
      <c r="H7" s="48" t="s">
        <v>119</v>
      </c>
      <c r="L7" s="47"/>
    </row>
    <row r="8" spans="1:12" x14ac:dyDescent="0.25">
      <c r="A8" s="49" t="s">
        <v>140</v>
      </c>
      <c r="B8" s="50">
        <v>6900</v>
      </c>
      <c r="C8" s="48">
        <v>18</v>
      </c>
      <c r="D8" s="48">
        <v>1</v>
      </c>
      <c r="E8" s="55">
        <f>tab_principal[[#This Row],[Valor Unitário]]*tab_principal[[#This Row],[nº períodos]]*tab_principal[[#This Row],[Qtde]]</f>
        <v>124200</v>
      </c>
      <c r="F8" s="51" t="s">
        <v>108</v>
      </c>
      <c r="G8" s="51" t="s">
        <v>63</v>
      </c>
      <c r="H8" s="48" t="s">
        <v>119</v>
      </c>
      <c r="L8" s="47"/>
    </row>
    <row r="9" spans="1:12" x14ac:dyDescent="0.25">
      <c r="A9" s="49" t="s">
        <v>147</v>
      </c>
      <c r="B9" s="50">
        <v>4000</v>
      </c>
      <c r="C9" s="48">
        <v>18</v>
      </c>
      <c r="D9" s="48">
        <v>1</v>
      </c>
      <c r="E9" s="55">
        <f>tab_principal[[#This Row],[Valor Unitário]]*tab_principal[[#This Row],[nº períodos]]*tab_principal[[#This Row],[Qtde]]</f>
        <v>72000</v>
      </c>
      <c r="F9" s="51" t="s">
        <v>108</v>
      </c>
      <c r="G9" s="51" t="s">
        <v>118</v>
      </c>
      <c r="H9" s="48" t="s">
        <v>119</v>
      </c>
      <c r="L9" s="47"/>
    </row>
    <row r="10" spans="1:12" hidden="1" x14ac:dyDescent="0.25">
      <c r="A10" s="49" t="s">
        <v>174</v>
      </c>
      <c r="B10" s="50">
        <v>13590.5</v>
      </c>
      <c r="C10" s="48">
        <v>1</v>
      </c>
      <c r="D10" s="48">
        <v>0</v>
      </c>
      <c r="E10" s="55">
        <f>tab_principal[[#This Row],[Valor Unitário]]*tab_principal[[#This Row],[nº períodos]]*tab_principal[[#This Row],[Qtde]]</f>
        <v>0</v>
      </c>
      <c r="F10" s="49" t="s">
        <v>124</v>
      </c>
      <c r="G10" s="51" t="s">
        <v>118</v>
      </c>
      <c r="H10" s="48" t="s">
        <v>119</v>
      </c>
      <c r="L10" s="47"/>
    </row>
    <row r="11" spans="1:12" x14ac:dyDescent="0.25">
      <c r="A11" s="49" t="s">
        <v>146</v>
      </c>
      <c r="B11" s="50">
        <v>4000</v>
      </c>
      <c r="C11" s="48">
        <v>18</v>
      </c>
      <c r="D11" s="48">
        <v>1</v>
      </c>
      <c r="E11" s="55">
        <f>tab_principal[[#This Row],[Valor Unitário]]*tab_principal[[#This Row],[nº períodos]]*tab_principal[[#This Row],[Qtde]]</f>
        <v>72000</v>
      </c>
      <c r="F11" s="51" t="s">
        <v>108</v>
      </c>
      <c r="G11" s="51" t="s">
        <v>117</v>
      </c>
      <c r="H11" s="48" t="s">
        <v>119</v>
      </c>
      <c r="L11" s="47"/>
    </row>
    <row r="12" spans="1:12" hidden="1" x14ac:dyDescent="0.25">
      <c r="A12" s="49" t="s">
        <v>114</v>
      </c>
      <c r="B12" s="50">
        <v>3000</v>
      </c>
      <c r="C12" s="48">
        <v>18</v>
      </c>
      <c r="D12" s="48">
        <v>0</v>
      </c>
      <c r="E12" s="55">
        <f>tab_principal[[#This Row],[Valor Unitário]]*tab_principal[[#This Row],[nº períodos]]*tab_principal[[#This Row],[Qtde]]</f>
        <v>0</v>
      </c>
      <c r="F12" s="49" t="s">
        <v>108</v>
      </c>
      <c r="G12" s="51" t="s">
        <v>111</v>
      </c>
      <c r="H12" s="48" t="s">
        <v>119</v>
      </c>
      <c r="L12" s="47"/>
    </row>
    <row r="13" spans="1:12" x14ac:dyDescent="0.25">
      <c r="A13" s="49" t="s">
        <v>144</v>
      </c>
      <c r="B13" s="50">
        <v>4000</v>
      </c>
      <c r="C13" s="48">
        <v>18</v>
      </c>
      <c r="D13" s="48">
        <v>1</v>
      </c>
      <c r="E13" s="55">
        <f>tab_principal[[#This Row],[Valor Unitário]]*tab_principal[[#This Row],[nº períodos]]*tab_principal[[#This Row],[Qtde]]</f>
        <v>72000</v>
      </c>
      <c r="F13" s="51" t="s">
        <v>108</v>
      </c>
      <c r="G13" s="51" t="s">
        <v>63</v>
      </c>
      <c r="H13" s="48" t="s">
        <v>119</v>
      </c>
      <c r="L13" s="47"/>
    </row>
    <row r="14" spans="1:12" x14ac:dyDescent="0.25">
      <c r="A14" s="49" t="s">
        <v>115</v>
      </c>
      <c r="B14" s="50">
        <v>1500</v>
      </c>
      <c r="C14" s="48">
        <v>18</v>
      </c>
      <c r="D14" s="48">
        <v>2</v>
      </c>
      <c r="E14" s="55">
        <f>tab_principal[[#This Row],[Valor Unitário]]*tab_principal[[#This Row],[nº períodos]]*tab_principal[[#This Row],[Qtde]]</f>
        <v>54000</v>
      </c>
      <c r="F14" s="49" t="s">
        <v>108</v>
      </c>
      <c r="G14" s="51" t="s">
        <v>111</v>
      </c>
      <c r="H14" s="48" t="s">
        <v>119</v>
      </c>
      <c r="L14" s="47"/>
    </row>
    <row r="15" spans="1:12" hidden="1" x14ac:dyDescent="0.25">
      <c r="A15" s="49" t="s">
        <v>121</v>
      </c>
      <c r="B15" s="50">
        <v>2100</v>
      </c>
      <c r="C15" s="48">
        <v>18</v>
      </c>
      <c r="D15" s="48">
        <v>0</v>
      </c>
      <c r="E15" s="55">
        <f>tab_principal[[#This Row],[Valor Unitário]]*tab_principal[[#This Row],[nº períodos]]*tab_principal[[#This Row],[Qtde]]</f>
        <v>0</v>
      </c>
      <c r="F15" s="49" t="s">
        <v>108</v>
      </c>
      <c r="G15" s="51" t="s">
        <v>111</v>
      </c>
      <c r="H15" s="48" t="s">
        <v>119</v>
      </c>
      <c r="L15" s="47"/>
    </row>
    <row r="16" spans="1:12" hidden="1" x14ac:dyDescent="0.25">
      <c r="A16" s="76" t="s">
        <v>103</v>
      </c>
      <c r="B16" s="77">
        <v>0</v>
      </c>
      <c r="C16" s="78">
        <v>1</v>
      </c>
      <c r="D16" s="78">
        <v>0</v>
      </c>
      <c r="E16" s="79">
        <f>tab_principal[[#This Row],[Valor Unitário]]*tab_principal[[#This Row],[nº períodos]]*tab_principal[[#This Row],[Qtde]]</f>
        <v>0</v>
      </c>
      <c r="F16" s="76" t="s">
        <v>123</v>
      </c>
      <c r="G16" s="80" t="s">
        <v>111</v>
      </c>
      <c r="H16" s="78" t="s">
        <v>119</v>
      </c>
      <c r="L16" s="47"/>
    </row>
    <row r="17" spans="1:12" x14ac:dyDescent="0.25">
      <c r="A17" s="49" t="s">
        <v>161</v>
      </c>
      <c r="B17" s="50">
        <v>3000</v>
      </c>
      <c r="C17" s="48">
        <v>18</v>
      </c>
      <c r="D17" s="48">
        <v>1</v>
      </c>
      <c r="E17" s="55">
        <f>tab_principal[[#This Row],[Valor Unitário]]*tab_principal[[#This Row],[nº períodos]]*tab_principal[[#This Row],[Qtde]]</f>
        <v>54000</v>
      </c>
      <c r="F17" s="49" t="s">
        <v>108</v>
      </c>
      <c r="G17" s="51" t="s">
        <v>61</v>
      </c>
      <c r="H17" s="48" t="s">
        <v>119</v>
      </c>
      <c r="L17" s="47"/>
    </row>
    <row r="18" spans="1:12" hidden="1" x14ac:dyDescent="0.25">
      <c r="A18" s="76" t="s">
        <v>129</v>
      </c>
      <c r="B18" s="77">
        <f>5*12*aux!$C$20</f>
        <v>330</v>
      </c>
      <c r="C18" s="78">
        <v>2</v>
      </c>
      <c r="D18" s="78">
        <v>0</v>
      </c>
      <c r="E18" s="79">
        <f>tab_principal[[#This Row],[Valor Unitário]]*tab_principal[[#This Row],[nº períodos]]*tab_principal[[#This Row],[Qtde]]</f>
        <v>0</v>
      </c>
      <c r="F18" s="76" t="s">
        <v>123</v>
      </c>
      <c r="G18" s="80" t="s">
        <v>111</v>
      </c>
      <c r="H18" s="78" t="s">
        <v>119</v>
      </c>
      <c r="L18" s="47"/>
    </row>
    <row r="19" spans="1:12" hidden="1" x14ac:dyDescent="0.25">
      <c r="A19" s="76" t="s">
        <v>128</v>
      </c>
      <c r="B19" s="77">
        <f>10*aux!$C$20</f>
        <v>55</v>
      </c>
      <c r="C19" s="78">
        <v>18</v>
      </c>
      <c r="D19" s="78">
        <v>0</v>
      </c>
      <c r="E19" s="79">
        <f>tab_principal[[#This Row],[Valor Unitário]]*tab_principal[[#This Row],[nº períodos]]*tab_principal[[#This Row],[Qtde]]</f>
        <v>0</v>
      </c>
      <c r="F19" s="76" t="s">
        <v>123</v>
      </c>
      <c r="G19" s="80" t="s">
        <v>111</v>
      </c>
      <c r="H19" s="78" t="s">
        <v>119</v>
      </c>
      <c r="L19" s="47"/>
    </row>
    <row r="20" spans="1:12" hidden="1" x14ac:dyDescent="0.25">
      <c r="A20" s="76" t="s">
        <v>127</v>
      </c>
      <c r="B20" s="77">
        <v>22</v>
      </c>
      <c r="C20" s="78">
        <v>18</v>
      </c>
      <c r="D20" s="78">
        <v>0</v>
      </c>
      <c r="E20" s="79">
        <f>tab_principal[[#This Row],[Valor Unitário]]*tab_principal[[#This Row],[nº períodos]]*tab_principal[[#This Row],[Qtde]]</f>
        <v>0</v>
      </c>
      <c r="F20" s="76" t="s">
        <v>123</v>
      </c>
      <c r="G20" s="80" t="s">
        <v>111</v>
      </c>
      <c r="H20" s="78" t="s">
        <v>119</v>
      </c>
      <c r="L20" s="47"/>
    </row>
    <row r="21" spans="1:12" hidden="1" x14ac:dyDescent="0.25">
      <c r="A21" s="49" t="s">
        <v>77</v>
      </c>
      <c r="B21" s="50">
        <v>15000</v>
      </c>
      <c r="C21" s="48">
        <v>1</v>
      </c>
      <c r="D21" s="48">
        <v>0</v>
      </c>
      <c r="E21" s="55">
        <f>tab_principal[[#This Row],[Valor Unitário]]*tab_principal[[#This Row],[nº períodos]]*tab_principal[[#This Row],[Qtde]]</f>
        <v>0</v>
      </c>
      <c r="F21" s="49" t="s">
        <v>123</v>
      </c>
      <c r="G21" s="51" t="s">
        <v>111</v>
      </c>
      <c r="H21" s="48" t="s">
        <v>119</v>
      </c>
      <c r="L21" s="47"/>
    </row>
    <row r="22" spans="1:12" hidden="1" x14ac:dyDescent="0.25">
      <c r="A22" s="49" t="s">
        <v>81</v>
      </c>
      <c r="B22" s="50">
        <v>396</v>
      </c>
      <c r="C22" s="48">
        <v>2</v>
      </c>
      <c r="D22" s="48">
        <v>0</v>
      </c>
      <c r="E22" s="55">
        <f>tab_principal[[#This Row],[Valor Unitário]]*tab_principal[[#This Row],[nº períodos]]*tab_principal[[#This Row],[Qtde]]</f>
        <v>0</v>
      </c>
      <c r="F22" s="49" t="s">
        <v>123</v>
      </c>
      <c r="G22" s="51" t="s">
        <v>111</v>
      </c>
      <c r="H22" s="48" t="s">
        <v>119</v>
      </c>
      <c r="L22" s="47"/>
    </row>
    <row r="23" spans="1:12" x14ac:dyDescent="0.25">
      <c r="A23" s="49" t="s">
        <v>113</v>
      </c>
      <c r="B23" s="50">
        <v>7200</v>
      </c>
      <c r="C23" s="48">
        <v>18</v>
      </c>
      <c r="D23" s="48">
        <v>1</v>
      </c>
      <c r="E23" s="55">
        <f>tab_principal[[#This Row],[Valor Unitário]]*tab_principal[[#This Row],[nº períodos]]*tab_principal[[#This Row],[Qtde]]</f>
        <v>129600</v>
      </c>
      <c r="F23" s="51" t="s">
        <v>108</v>
      </c>
      <c r="G23" s="51" t="s">
        <v>111</v>
      </c>
      <c r="H23" s="48" t="s">
        <v>119</v>
      </c>
      <c r="L23" s="47"/>
    </row>
    <row r="24" spans="1:12" x14ac:dyDescent="0.25">
      <c r="A24" s="49" t="s">
        <v>122</v>
      </c>
      <c r="B24" s="50">
        <v>1100</v>
      </c>
      <c r="C24" s="48">
        <v>18</v>
      </c>
      <c r="D24" s="48">
        <v>2</v>
      </c>
      <c r="E24" s="55">
        <f>tab_principal[[#This Row],[Valor Unitário]]*tab_principal[[#This Row],[nº períodos]]*tab_principal[[#This Row],[Qtde]]</f>
        <v>39600</v>
      </c>
      <c r="F24" s="49" t="s">
        <v>108</v>
      </c>
      <c r="G24" s="51" t="s">
        <v>111</v>
      </c>
      <c r="H24" s="48" t="s">
        <v>119</v>
      </c>
      <c r="L24" s="47"/>
    </row>
    <row r="25" spans="1:12" x14ac:dyDescent="0.25">
      <c r="A25" s="49" t="s">
        <v>168</v>
      </c>
      <c r="B25" s="50">
        <v>18000</v>
      </c>
      <c r="C25" s="48">
        <v>1</v>
      </c>
      <c r="D25" s="48">
        <v>1</v>
      </c>
      <c r="E25" s="55">
        <f>tab_principal[[#This Row],[Valor Unitário]]*tab_principal[[#This Row],[nº períodos]]*tab_principal[[#This Row],[Qtde]]</f>
        <v>18000</v>
      </c>
      <c r="F25" s="49" t="s">
        <v>124</v>
      </c>
      <c r="G25" s="51" t="s">
        <v>61</v>
      </c>
      <c r="H25" s="48" t="s">
        <v>120</v>
      </c>
      <c r="L25" s="47"/>
    </row>
    <row r="26" spans="1:12" x14ac:dyDescent="0.25">
      <c r="A26" s="49" t="s">
        <v>139</v>
      </c>
      <c r="B26" s="50">
        <v>15000</v>
      </c>
      <c r="C26" s="48">
        <v>1</v>
      </c>
      <c r="D26" s="48">
        <v>4</v>
      </c>
      <c r="E26" s="55">
        <f>tab_principal[[#This Row],[Valor Unitário]]*tab_principal[[#This Row],[nº períodos]]*tab_principal[[#This Row],[Qtde]]</f>
        <v>60000</v>
      </c>
      <c r="F26" s="49" t="s">
        <v>124</v>
      </c>
      <c r="G26" s="51" t="s">
        <v>111</v>
      </c>
      <c r="H26" s="48" t="s">
        <v>120</v>
      </c>
      <c r="L26" s="47"/>
    </row>
    <row r="27" spans="1:12" hidden="1" x14ac:dyDescent="0.25">
      <c r="A27" s="49" t="s">
        <v>138</v>
      </c>
      <c r="B27" s="50">
        <v>2035</v>
      </c>
      <c r="C27" s="48">
        <v>1</v>
      </c>
      <c r="D27" s="48">
        <v>0</v>
      </c>
      <c r="E27" s="55">
        <f>tab_principal[[#This Row],[Valor Unitário]]*tab_principal[[#This Row],[nº períodos]]*tab_principal[[#This Row],[Qtde]]</f>
        <v>0</v>
      </c>
      <c r="F27" s="49" t="s">
        <v>109</v>
      </c>
      <c r="G27" s="51" t="s">
        <v>118</v>
      </c>
      <c r="H27" s="48" t="s">
        <v>119</v>
      </c>
      <c r="L27" s="47"/>
    </row>
    <row r="28" spans="1:12" hidden="1" x14ac:dyDescent="0.25">
      <c r="A28" s="49" t="s">
        <v>135</v>
      </c>
      <c r="B28" s="50">
        <v>2035</v>
      </c>
      <c r="C28" s="48">
        <v>1</v>
      </c>
      <c r="D28" s="48">
        <v>0</v>
      </c>
      <c r="E28" s="55">
        <f>tab_principal[[#This Row],[Valor Unitário]]*tab_principal[[#This Row],[nº períodos]]*tab_principal[[#This Row],[Qtde]]</f>
        <v>0</v>
      </c>
      <c r="F28" s="49" t="s">
        <v>109</v>
      </c>
      <c r="G28" s="51" t="s">
        <v>117</v>
      </c>
      <c r="H28" s="48" t="s">
        <v>119</v>
      </c>
      <c r="L28" s="47"/>
    </row>
    <row r="29" spans="1:12" hidden="1" x14ac:dyDescent="0.25">
      <c r="A29" s="49" t="s">
        <v>131</v>
      </c>
      <c r="B29" s="50">
        <v>2035</v>
      </c>
      <c r="C29" s="48">
        <v>1</v>
      </c>
      <c r="D29" s="48">
        <v>0</v>
      </c>
      <c r="E29" s="55">
        <f>tab_principal[[#This Row],[Valor Unitário]]*tab_principal[[#This Row],[nº períodos]]*tab_principal[[#This Row],[Qtde]]</f>
        <v>0</v>
      </c>
      <c r="F29" s="49" t="s">
        <v>109</v>
      </c>
      <c r="G29" s="51" t="s">
        <v>63</v>
      </c>
      <c r="H29" s="48" t="s">
        <v>119</v>
      </c>
      <c r="L29" s="47"/>
    </row>
    <row r="30" spans="1:12" x14ac:dyDescent="0.25">
      <c r="A30" s="49" t="s">
        <v>171</v>
      </c>
      <c r="B30" s="50">
        <v>350</v>
      </c>
      <c r="C30" s="48">
        <v>1</v>
      </c>
      <c r="D30" s="48">
        <v>14</v>
      </c>
      <c r="E30" s="55">
        <f>tab_principal[[#This Row],[Valor Unitário]]*tab_principal[[#This Row],[nº períodos]]*tab_principal[[#This Row],[Qtde]]</f>
        <v>4900</v>
      </c>
      <c r="F30" s="49" t="s">
        <v>109</v>
      </c>
      <c r="G30" s="51" t="s">
        <v>111</v>
      </c>
      <c r="H30" s="48" t="s">
        <v>119</v>
      </c>
      <c r="L30" s="47"/>
    </row>
    <row r="31" spans="1:12" x14ac:dyDescent="0.25">
      <c r="A31" s="49" t="s">
        <v>173</v>
      </c>
      <c r="B31" s="50">
        <v>350</v>
      </c>
      <c r="C31" s="48">
        <v>1</v>
      </c>
      <c r="D31" s="48">
        <v>4</v>
      </c>
      <c r="E31" s="55">
        <f>tab_principal[[#This Row],[Valor Unitário]]*tab_principal[[#This Row],[nº períodos]]*tab_principal[[#This Row],[Qtde]]</f>
        <v>1400</v>
      </c>
      <c r="F31" s="49" t="s">
        <v>109</v>
      </c>
      <c r="G31" s="51" t="s">
        <v>111</v>
      </c>
      <c r="H31" s="48" t="s">
        <v>119</v>
      </c>
      <c r="L31" s="47"/>
    </row>
    <row r="32" spans="1:12" hidden="1" x14ac:dyDescent="0.25">
      <c r="A32" s="49" t="s">
        <v>137</v>
      </c>
      <c r="B32" s="50">
        <v>350</v>
      </c>
      <c r="C32" s="48">
        <v>1</v>
      </c>
      <c r="D32" s="48">
        <v>0</v>
      </c>
      <c r="E32" s="55">
        <f>tab_principal[[#This Row],[Valor Unitário]]*tab_principal[[#This Row],[nº períodos]]*tab_principal[[#This Row],[Qtde]]</f>
        <v>0</v>
      </c>
      <c r="F32" s="49" t="s">
        <v>109</v>
      </c>
      <c r="G32" s="51" t="s">
        <v>118</v>
      </c>
      <c r="H32" s="48" t="s">
        <v>119</v>
      </c>
      <c r="L32" s="47"/>
    </row>
    <row r="33" spans="1:12" hidden="1" x14ac:dyDescent="0.25">
      <c r="A33" s="49" t="s">
        <v>136</v>
      </c>
      <c r="B33" s="50">
        <v>350</v>
      </c>
      <c r="C33" s="48">
        <v>1</v>
      </c>
      <c r="D33" s="48">
        <v>0</v>
      </c>
      <c r="E33" s="55">
        <f>tab_principal[[#This Row],[Valor Unitário]]*tab_principal[[#This Row],[nº períodos]]*tab_principal[[#This Row],[Qtde]]</f>
        <v>0</v>
      </c>
      <c r="F33" s="49" t="s">
        <v>109</v>
      </c>
      <c r="G33" s="51" t="s">
        <v>117</v>
      </c>
      <c r="H33" s="48" t="s">
        <v>119</v>
      </c>
      <c r="L33" s="47"/>
    </row>
    <row r="34" spans="1:12" hidden="1" x14ac:dyDescent="0.25">
      <c r="A34" s="49" t="s">
        <v>76</v>
      </c>
      <c r="B34" s="50">
        <v>100000</v>
      </c>
      <c r="C34" s="48">
        <v>1</v>
      </c>
      <c r="D34" s="48">
        <v>0</v>
      </c>
      <c r="E34" s="55">
        <f>tab_principal[[#This Row],[Valor Unitário]]*tab_principal[[#This Row],[nº períodos]]*tab_principal[[#This Row],[Qtde]]</f>
        <v>0</v>
      </c>
      <c r="F34" s="49" t="s">
        <v>124</v>
      </c>
      <c r="G34" s="51" t="s">
        <v>111</v>
      </c>
      <c r="H34" s="48" t="s">
        <v>120</v>
      </c>
      <c r="L34" s="47"/>
    </row>
    <row r="35" spans="1:12" hidden="1" x14ac:dyDescent="0.25">
      <c r="A35" s="49" t="s">
        <v>132</v>
      </c>
      <c r="B35" s="50">
        <v>350</v>
      </c>
      <c r="C35" s="48">
        <v>1</v>
      </c>
      <c r="D35" s="48">
        <v>0</v>
      </c>
      <c r="E35" s="55">
        <f>tab_principal[[#This Row],[Valor Unitário]]*tab_principal[[#This Row],[nº períodos]]*tab_principal[[#This Row],[Qtde]]</f>
        <v>0</v>
      </c>
      <c r="F35" s="49" t="s">
        <v>109</v>
      </c>
      <c r="G35" s="51" t="s">
        <v>63</v>
      </c>
      <c r="H35" s="48" t="s">
        <v>119</v>
      </c>
      <c r="L35" s="47"/>
    </row>
    <row r="36" spans="1:12" x14ac:dyDescent="0.25">
      <c r="A36" s="49" t="s">
        <v>70</v>
      </c>
      <c r="B36" s="50">
        <v>50000</v>
      </c>
      <c r="C36" s="48">
        <v>1</v>
      </c>
      <c r="D36" s="48">
        <v>1</v>
      </c>
      <c r="E36" s="55">
        <f>tab_principal[[#This Row],[Valor Unitário]]*tab_principal[[#This Row],[nº períodos]]*tab_principal[[#This Row],[Qtde]]</f>
        <v>50000</v>
      </c>
      <c r="F36" s="49" t="s">
        <v>124</v>
      </c>
      <c r="G36" s="51" t="s">
        <v>111</v>
      </c>
      <c r="H36" s="48" t="s">
        <v>120</v>
      </c>
      <c r="L36" s="47"/>
    </row>
    <row r="37" spans="1:12" x14ac:dyDescent="0.25">
      <c r="A37" s="49" t="s">
        <v>27</v>
      </c>
      <c r="B37" s="50">
        <v>1000000</v>
      </c>
      <c r="C37" s="48">
        <v>1</v>
      </c>
      <c r="D37" s="48">
        <v>1</v>
      </c>
      <c r="E37" s="55">
        <f>tab_principal[[#This Row],[Valor Unitário]]*tab_principal[[#This Row],[nº períodos]]*tab_principal[[#This Row],[Qtde]]</f>
        <v>1000000</v>
      </c>
      <c r="F37" s="49" t="s">
        <v>124</v>
      </c>
      <c r="G37" s="51" t="s">
        <v>111</v>
      </c>
      <c r="H37" s="48" t="s">
        <v>120</v>
      </c>
      <c r="L37" s="47"/>
    </row>
    <row r="38" spans="1:12" x14ac:dyDescent="0.25">
      <c r="A38" s="49" t="s">
        <v>177</v>
      </c>
      <c r="B38" s="50">
        <f>0.15*Consolidado!C3</f>
        <v>436800</v>
      </c>
      <c r="C38" s="48">
        <v>1</v>
      </c>
      <c r="D38" s="48">
        <v>1</v>
      </c>
      <c r="E38" s="55">
        <f>tab_principal[[#This Row],[Valor Unitário]]*tab_principal[[#This Row],[nº períodos]]*tab_principal[[#This Row],[Qtde]]</f>
        <v>436800</v>
      </c>
      <c r="F38" s="49" t="s">
        <v>125</v>
      </c>
      <c r="G38" s="51" t="s">
        <v>111</v>
      </c>
      <c r="H38" s="48" t="s">
        <v>119</v>
      </c>
      <c r="L38" s="47"/>
    </row>
    <row r="39" spans="1:12" x14ac:dyDescent="0.25">
      <c r="A39" s="49" t="s">
        <v>73</v>
      </c>
      <c r="B39" s="50">
        <v>17900</v>
      </c>
      <c r="C39" s="48">
        <v>1</v>
      </c>
      <c r="D39" s="48">
        <v>1</v>
      </c>
      <c r="E39" s="55">
        <f>tab_principal[[#This Row],[Valor Unitário]]*tab_principal[[#This Row],[nº períodos]]*tab_principal[[#This Row],[Qtde]]</f>
        <v>17900</v>
      </c>
      <c r="F39" s="49" t="s">
        <v>124</v>
      </c>
      <c r="G39" s="51" t="s">
        <v>111</v>
      </c>
      <c r="H39" s="48" t="s">
        <v>120</v>
      </c>
      <c r="L39" s="47"/>
    </row>
    <row r="40" spans="1:12" x14ac:dyDescent="0.25">
      <c r="A40" s="49" t="s">
        <v>28</v>
      </c>
      <c r="B40" s="50">
        <v>100000</v>
      </c>
      <c r="C40" s="48">
        <v>1</v>
      </c>
      <c r="D40" s="48">
        <v>1</v>
      </c>
      <c r="E40" s="55">
        <f>tab_principal[[#This Row],[Valor Unitário]]*tab_principal[[#This Row],[nº períodos]]*tab_principal[[#This Row],[Qtde]]</f>
        <v>100000</v>
      </c>
      <c r="F40" s="49" t="s">
        <v>125</v>
      </c>
      <c r="G40" s="51" t="s">
        <v>111</v>
      </c>
      <c r="H40" s="48" t="s">
        <v>119</v>
      </c>
      <c r="L40" s="47"/>
    </row>
    <row r="41" spans="1:12" x14ac:dyDescent="0.25">
      <c r="A41" s="76" t="s">
        <v>103</v>
      </c>
      <c r="B41" s="77">
        <v>0</v>
      </c>
      <c r="C41" s="78">
        <v>1</v>
      </c>
      <c r="D41" s="78">
        <v>1</v>
      </c>
      <c r="E41" s="79">
        <f>tab_principal[[#This Row],[Valor Unitário]]*tab_principal[[#This Row],[nº períodos]]*tab_principal[[#This Row],[Qtde]]</f>
        <v>0</v>
      </c>
      <c r="F41" s="76" t="s">
        <v>123</v>
      </c>
      <c r="G41" s="80" t="s">
        <v>118</v>
      </c>
      <c r="H41" s="78" t="s">
        <v>119</v>
      </c>
      <c r="L41" s="47"/>
    </row>
    <row r="42" spans="1:12" x14ac:dyDescent="0.25">
      <c r="A42" s="49" t="s">
        <v>103</v>
      </c>
      <c r="B42" s="50">
        <v>0</v>
      </c>
      <c r="C42" s="48">
        <v>1</v>
      </c>
      <c r="D42" s="48">
        <v>1</v>
      </c>
      <c r="E42" s="55">
        <f>tab_principal[[#This Row],[Valor Unitário]]*tab_principal[[#This Row],[nº períodos]]*tab_principal[[#This Row],[Qtde]]</f>
        <v>0</v>
      </c>
      <c r="F42" s="49" t="s">
        <v>123</v>
      </c>
      <c r="G42" s="51" t="s">
        <v>117</v>
      </c>
      <c r="H42" s="48" t="s">
        <v>119</v>
      </c>
      <c r="L42" s="47"/>
    </row>
    <row r="43" spans="1:12" hidden="1" x14ac:dyDescent="0.25">
      <c r="A43" s="49" t="s">
        <v>101</v>
      </c>
      <c r="B43" s="50">
        <v>10000</v>
      </c>
      <c r="C43" s="48">
        <v>1</v>
      </c>
      <c r="D43" s="48">
        <v>0</v>
      </c>
      <c r="E43" s="55">
        <f>tab_principal[[#This Row],[Valor Unitário]]*tab_principal[[#This Row],[nº períodos]]*tab_principal[[#This Row],[Qtde]]</f>
        <v>0</v>
      </c>
      <c r="F43" s="49" t="s">
        <v>110</v>
      </c>
      <c r="G43" s="51" t="s">
        <v>118</v>
      </c>
      <c r="H43" s="48" t="s">
        <v>119</v>
      </c>
      <c r="L43" s="47"/>
    </row>
    <row r="44" spans="1:12" hidden="1" x14ac:dyDescent="0.25">
      <c r="A44" s="49" t="s">
        <v>99</v>
      </c>
      <c r="B44" s="50">
        <v>10000</v>
      </c>
      <c r="C44" s="48">
        <v>1</v>
      </c>
      <c r="D44" s="48">
        <v>0</v>
      </c>
      <c r="E44" s="55">
        <f>tab_principal[[#This Row],[Valor Unitário]]*tab_principal[[#This Row],[nº períodos]]*tab_principal[[#This Row],[Qtde]]</f>
        <v>0</v>
      </c>
      <c r="F44" s="49" t="s">
        <v>110</v>
      </c>
      <c r="G44" s="51" t="s">
        <v>117</v>
      </c>
      <c r="H44" s="48" t="s">
        <v>119</v>
      </c>
      <c r="L44" s="47"/>
    </row>
    <row r="45" spans="1:12" hidden="1" x14ac:dyDescent="0.25">
      <c r="A45" s="49" t="s">
        <v>174</v>
      </c>
      <c r="B45" s="50">
        <v>13590.5</v>
      </c>
      <c r="C45" s="48">
        <v>1</v>
      </c>
      <c r="D45" s="48">
        <v>0</v>
      </c>
      <c r="E45" s="55">
        <f>tab_principal[[#This Row],[Valor Unitário]]*tab_principal[[#This Row],[nº períodos]]*tab_principal[[#This Row],[Qtde]]</f>
        <v>0</v>
      </c>
      <c r="F45" s="49" t="s">
        <v>124</v>
      </c>
      <c r="G45" s="51" t="s">
        <v>117</v>
      </c>
      <c r="H45" s="48" t="s">
        <v>119</v>
      </c>
      <c r="L45" s="47"/>
    </row>
    <row r="46" spans="1:12" hidden="1" x14ac:dyDescent="0.25">
      <c r="A46" s="49" t="s">
        <v>95</v>
      </c>
      <c r="B46" s="50">
        <v>10000</v>
      </c>
      <c r="C46" s="48">
        <v>1</v>
      </c>
      <c r="D46" s="48">
        <v>0</v>
      </c>
      <c r="E46" s="55">
        <f>tab_principal[[#This Row],[Valor Unitário]]*tab_principal[[#This Row],[nº períodos]]*tab_principal[[#This Row],[Qtde]]</f>
        <v>0</v>
      </c>
      <c r="F46" s="49" t="s">
        <v>110</v>
      </c>
      <c r="G46" s="51" t="s">
        <v>63</v>
      </c>
      <c r="H46" s="48" t="s">
        <v>119</v>
      </c>
      <c r="L46" s="47"/>
    </row>
    <row r="47" spans="1:12" hidden="1" x14ac:dyDescent="0.25">
      <c r="A47" s="49" t="s">
        <v>145</v>
      </c>
      <c r="B47" s="50">
        <v>4000</v>
      </c>
      <c r="C47" s="48">
        <v>18</v>
      </c>
      <c r="D47" s="48">
        <v>0</v>
      </c>
      <c r="E47" s="55">
        <f>tab_principal[[#This Row],[Valor Unitário]]*tab_principal[[#This Row],[nº períodos]]*tab_principal[[#This Row],[Qtde]]</f>
        <v>0</v>
      </c>
      <c r="F47" s="51" t="s">
        <v>108</v>
      </c>
      <c r="G47" s="51" t="s">
        <v>61</v>
      </c>
      <c r="H47" s="48" t="s">
        <v>119</v>
      </c>
      <c r="L47" s="47"/>
    </row>
    <row r="48" spans="1:12" hidden="1" x14ac:dyDescent="0.25">
      <c r="A48" s="49" t="s">
        <v>102</v>
      </c>
      <c r="B48" s="50">
        <v>4000</v>
      </c>
      <c r="C48" s="48">
        <v>1</v>
      </c>
      <c r="D48" s="48">
        <v>0</v>
      </c>
      <c r="E48" s="55">
        <f>tab_principal[[#This Row],[Valor Unitário]]*tab_principal[[#This Row],[nº períodos]]*tab_principal[[#This Row],[Qtde]]</f>
        <v>0</v>
      </c>
      <c r="F48" s="49" t="s">
        <v>110</v>
      </c>
      <c r="G48" s="51" t="s">
        <v>118</v>
      </c>
      <c r="H48" s="48" t="s">
        <v>119</v>
      </c>
      <c r="L48" s="47"/>
    </row>
    <row r="49" spans="1:12" hidden="1" x14ac:dyDescent="0.25">
      <c r="A49" s="49" t="s">
        <v>133</v>
      </c>
      <c r="B49" s="50">
        <v>2035</v>
      </c>
      <c r="C49" s="48">
        <v>1</v>
      </c>
      <c r="D49" s="48">
        <v>0</v>
      </c>
      <c r="E49" s="55">
        <f>tab_principal[[#This Row],[Valor Unitário]]*tab_principal[[#This Row],[nº períodos]]*tab_principal[[#This Row],[Qtde]]</f>
        <v>0</v>
      </c>
      <c r="F49" s="49" t="s">
        <v>109</v>
      </c>
      <c r="G49" s="51" t="s">
        <v>61</v>
      </c>
      <c r="H49" s="48" t="s">
        <v>119</v>
      </c>
      <c r="L49" s="47"/>
    </row>
    <row r="50" spans="1:12" hidden="1" x14ac:dyDescent="0.25">
      <c r="A50" s="49" t="s">
        <v>134</v>
      </c>
      <c r="B50" s="50">
        <v>350</v>
      </c>
      <c r="C50" s="48">
        <v>1</v>
      </c>
      <c r="D50" s="48">
        <v>0</v>
      </c>
      <c r="E50" s="55">
        <f>tab_principal[[#This Row],[Valor Unitário]]*tab_principal[[#This Row],[nº períodos]]*tab_principal[[#This Row],[Qtde]]</f>
        <v>0</v>
      </c>
      <c r="F50" s="49" t="s">
        <v>109</v>
      </c>
      <c r="G50" s="51" t="s">
        <v>61</v>
      </c>
      <c r="H50" s="48" t="s">
        <v>119</v>
      </c>
      <c r="L50" s="47"/>
    </row>
    <row r="51" spans="1:12" hidden="1" x14ac:dyDescent="0.25">
      <c r="A51" s="49" t="s">
        <v>98</v>
      </c>
      <c r="B51" s="50">
        <v>10000</v>
      </c>
      <c r="C51" s="48">
        <v>1</v>
      </c>
      <c r="D51" s="48">
        <v>0</v>
      </c>
      <c r="E51" s="55">
        <f>tab_principal[[#This Row],[Valor Unitário]]*tab_principal[[#This Row],[nº períodos]]*tab_principal[[#This Row],[Qtde]]</f>
        <v>0</v>
      </c>
      <c r="F51" s="49" t="s">
        <v>110</v>
      </c>
      <c r="G51" s="51" t="s">
        <v>61</v>
      </c>
      <c r="H51" s="48" t="s">
        <v>119</v>
      </c>
      <c r="L51" s="47"/>
    </row>
    <row r="52" spans="1:12" hidden="1" x14ac:dyDescent="0.25">
      <c r="A52" s="49" t="s">
        <v>96</v>
      </c>
      <c r="B52" s="50">
        <v>4000</v>
      </c>
      <c r="C52" s="48">
        <v>1</v>
      </c>
      <c r="D52" s="48">
        <v>0</v>
      </c>
      <c r="E52" s="55">
        <f>tab_principal[[#This Row],[Valor Unitário]]*tab_principal[[#This Row],[nº períodos]]*tab_principal[[#This Row],[Qtde]]</f>
        <v>0</v>
      </c>
      <c r="F52" s="49" t="s">
        <v>110</v>
      </c>
      <c r="G52" s="51" t="s">
        <v>61</v>
      </c>
      <c r="H52" s="48" t="s">
        <v>119</v>
      </c>
      <c r="L52" s="47"/>
    </row>
    <row r="53" spans="1:12" hidden="1" x14ac:dyDescent="0.25">
      <c r="A53" s="49" t="s">
        <v>100</v>
      </c>
      <c r="B53" s="50">
        <v>4000</v>
      </c>
      <c r="C53" s="48">
        <v>1</v>
      </c>
      <c r="D53" s="48">
        <v>0</v>
      </c>
      <c r="E53" s="55">
        <f>tab_principal[[#This Row],[Valor Unitário]]*tab_principal[[#This Row],[nº períodos]]*tab_principal[[#This Row],[Qtde]]</f>
        <v>0</v>
      </c>
      <c r="F53" s="49" t="s">
        <v>110</v>
      </c>
      <c r="G53" s="51" t="s">
        <v>117</v>
      </c>
      <c r="H53" s="48" t="s">
        <v>119</v>
      </c>
      <c r="L53" s="47"/>
    </row>
    <row r="54" spans="1:12" hidden="1" x14ac:dyDescent="0.25">
      <c r="A54" s="49" t="s">
        <v>97</v>
      </c>
      <c r="B54" s="50">
        <v>4000</v>
      </c>
      <c r="C54" s="48">
        <v>1</v>
      </c>
      <c r="D54" s="48">
        <v>0</v>
      </c>
      <c r="E54" s="55">
        <f>tab_principal[[#This Row],[Valor Unitário]]*tab_principal[[#This Row],[nº períodos]]*tab_principal[[#This Row],[Qtde]]</f>
        <v>0</v>
      </c>
      <c r="F54" s="49" t="s">
        <v>110</v>
      </c>
      <c r="G54" s="51" t="s">
        <v>63</v>
      </c>
      <c r="H54" s="48" t="s">
        <v>119</v>
      </c>
      <c r="L54" s="47"/>
    </row>
    <row r="55" spans="1:12" x14ac:dyDescent="0.25">
      <c r="A55" s="49" t="s">
        <v>170</v>
      </c>
      <c r="B55" s="50">
        <v>4000</v>
      </c>
      <c r="C55" s="48">
        <v>1</v>
      </c>
      <c r="D55" s="48">
        <v>2</v>
      </c>
      <c r="E55" s="55">
        <f>tab_principal[[#This Row],[Valor Unitário]]*tab_principal[[#This Row],[nº períodos]]*tab_principal[[#This Row],[Qtde]]</f>
        <v>8000</v>
      </c>
      <c r="F55" s="49" t="s">
        <v>110</v>
      </c>
      <c r="G55" s="51" t="s">
        <v>111</v>
      </c>
      <c r="H55" s="48" t="s">
        <v>119</v>
      </c>
      <c r="L55" s="47"/>
    </row>
    <row r="56" spans="1:12" x14ac:dyDescent="0.25">
      <c r="A56" s="49" t="s">
        <v>172</v>
      </c>
      <c r="B56" s="50">
        <v>4000</v>
      </c>
      <c r="C56" s="48">
        <v>1</v>
      </c>
      <c r="D56" s="48">
        <v>2</v>
      </c>
      <c r="E56" s="55">
        <f>tab_principal[[#This Row],[Valor Unitário]]*tab_principal[[#This Row],[nº períodos]]*tab_principal[[#This Row],[Qtde]]</f>
        <v>8000</v>
      </c>
      <c r="F56" s="49" t="s">
        <v>110</v>
      </c>
      <c r="G56" s="51" t="s">
        <v>111</v>
      </c>
      <c r="H56" s="48" t="s">
        <v>119</v>
      </c>
      <c r="L56" s="47"/>
    </row>
    <row r="57" spans="1:12" x14ac:dyDescent="0.25">
      <c r="A57" s="49" t="s">
        <v>24</v>
      </c>
      <c r="B57" s="50">
        <v>0</v>
      </c>
      <c r="C57" s="48">
        <v>1</v>
      </c>
      <c r="D57" s="48">
        <v>1</v>
      </c>
      <c r="E57" s="55">
        <f>tab_principal[[#This Row],[Valor Unitário]]*tab_principal[[#This Row],[nº períodos]]*tab_principal[[#This Row],[Qtde]]</f>
        <v>0</v>
      </c>
      <c r="F57" s="49" t="s">
        <v>123</v>
      </c>
      <c r="G57" s="51" t="s">
        <v>63</v>
      </c>
      <c r="H57" s="48" t="s">
        <v>119</v>
      </c>
    </row>
    <row r="58" spans="1:12" x14ac:dyDescent="0.25">
      <c r="A58" s="76" t="s">
        <v>175</v>
      </c>
      <c r="B58" s="77">
        <v>100000</v>
      </c>
      <c r="C58" s="78">
        <v>1</v>
      </c>
      <c r="D58" s="78">
        <v>1</v>
      </c>
      <c r="E58" s="79">
        <f>tab_principal[[#This Row],[Valor Unitário]]*tab_principal[[#This Row],[nº períodos]]*tab_principal[[#This Row],[Qtde]]</f>
        <v>100000</v>
      </c>
      <c r="F58" s="76" t="s">
        <v>123</v>
      </c>
      <c r="G58" s="80" t="s">
        <v>111</v>
      </c>
      <c r="H58" s="78" t="s">
        <v>119</v>
      </c>
    </row>
    <row r="59" spans="1:12" x14ac:dyDescent="0.25">
      <c r="A59" s="49" t="s">
        <v>176</v>
      </c>
      <c r="B59" s="50">
        <v>100000</v>
      </c>
      <c r="C59" s="48">
        <v>1</v>
      </c>
      <c r="D59" s="48">
        <v>1</v>
      </c>
      <c r="E59" s="55">
        <f>tab_principal[[#This Row],[Valor Unitário]]*tab_principal[[#This Row],[nº períodos]]*tab_principal[[#This Row],[Qtde]]</f>
        <v>100000</v>
      </c>
      <c r="F59" s="49" t="s">
        <v>124</v>
      </c>
      <c r="G59" s="51" t="s">
        <v>111</v>
      </c>
      <c r="H59" s="48" t="s">
        <v>120</v>
      </c>
    </row>
    <row r="60" spans="1:12" x14ac:dyDescent="0.25">
      <c r="A60" s="49" t="s">
        <v>74</v>
      </c>
      <c r="B60" s="50">
        <v>6500</v>
      </c>
      <c r="C60" s="48">
        <v>1</v>
      </c>
      <c r="D60" s="48">
        <v>1</v>
      </c>
      <c r="E60" s="55">
        <f>tab_principal[[#This Row],[Valor Unitário]]*tab_principal[[#This Row],[nº períodos]]*tab_principal[[#This Row],[Qtde]]</f>
        <v>6500</v>
      </c>
      <c r="F60" s="49" t="s">
        <v>124</v>
      </c>
      <c r="G60" s="51" t="s">
        <v>111</v>
      </c>
      <c r="H60" s="48" t="s">
        <v>120</v>
      </c>
    </row>
    <row r="61" spans="1:12" hidden="1" x14ac:dyDescent="0.25">
      <c r="A61" s="49" t="s">
        <v>174</v>
      </c>
      <c r="B61" s="50">
        <v>13590.5</v>
      </c>
      <c r="C61" s="48">
        <v>1</v>
      </c>
      <c r="D61" s="48">
        <v>0</v>
      </c>
      <c r="E61" s="55">
        <f>tab_principal[[#This Row],[Valor Unitário]]*tab_principal[[#This Row],[nº períodos]]*tab_principal[[#This Row],[Qtde]]</f>
        <v>0</v>
      </c>
      <c r="F61" s="49" t="s">
        <v>124</v>
      </c>
      <c r="G61" s="51" t="s">
        <v>63</v>
      </c>
      <c r="H61" s="48" t="s">
        <v>119</v>
      </c>
    </row>
    <row r="62" spans="1:12" x14ac:dyDescent="0.25">
      <c r="A62"/>
      <c r="B62"/>
      <c r="C62"/>
    </row>
    <row r="63" spans="1:12" x14ac:dyDescent="0.25">
      <c r="A63"/>
      <c r="B63"/>
      <c r="C63"/>
      <c r="H63"/>
    </row>
    <row r="64" spans="1:12" x14ac:dyDescent="0.25">
      <c r="A64"/>
      <c r="B64"/>
      <c r="C64"/>
    </row>
    <row r="65" spans="1:3" x14ac:dyDescent="0.25">
      <c r="A65"/>
      <c r="B65"/>
      <c r="C65"/>
    </row>
    <row r="66" spans="1:3" x14ac:dyDescent="0.25">
      <c r="A66"/>
    </row>
    <row r="67" spans="1:3" x14ac:dyDescent="0.25">
      <c r="A67"/>
    </row>
    <row r="68" spans="1:3" x14ac:dyDescent="0.25">
      <c r="A68"/>
    </row>
    <row r="69" spans="1:3" x14ac:dyDescent="0.25">
      <c r="A69"/>
    </row>
    <row r="70" spans="1:3" x14ac:dyDescent="0.25">
      <c r="A70"/>
    </row>
    <row r="71" spans="1:3" x14ac:dyDescent="0.25">
      <c r="A71"/>
    </row>
    <row r="72" spans="1:3" x14ac:dyDescent="0.25">
      <c r="A72"/>
    </row>
    <row r="73" spans="1:3" x14ac:dyDescent="0.25">
      <c r="A73"/>
    </row>
    <row r="74" spans="1:3" x14ac:dyDescent="0.25">
      <c r="A74"/>
    </row>
    <row r="75" spans="1:3" x14ac:dyDescent="0.25">
      <c r="A75"/>
    </row>
    <row r="76" spans="1:3" x14ac:dyDescent="0.25">
      <c r="A76"/>
    </row>
    <row r="77" spans="1:3" x14ac:dyDescent="0.25">
      <c r="A77"/>
    </row>
    <row r="78" spans="1:3" x14ac:dyDescent="0.25">
      <c r="A78"/>
    </row>
    <row r="79" spans="1:3" x14ac:dyDescent="0.25">
      <c r="A79"/>
    </row>
    <row r="80" spans="1:3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FF5899A-810E-483B-ACC4-2A988B67011C}">
          <x14:formula1>
            <xm:f>aux!$D$3:$D$8</xm:f>
          </x14:formula1>
          <xm:sqref>G3:G61</xm:sqref>
        </x14:dataValidation>
        <x14:dataValidation type="list" allowBlank="1" showInputMessage="1" showErrorMessage="1" xr:uid="{6A1432E5-3B9C-42E8-B3A4-85764221156C}">
          <x14:formula1>
            <xm:f>aux!$B$3:$B$8</xm:f>
          </x14:formula1>
          <xm:sqref>F3:F61</xm:sqref>
        </x14:dataValidation>
        <x14:dataValidation type="list" allowBlank="1" showInputMessage="1" showErrorMessage="1" xr:uid="{BDDBF390-CD99-4DD2-940F-733C2177B916}">
          <x14:formula1>
            <xm:f>aux!$E$3:$E$4</xm:f>
          </x14:formula1>
          <xm:sqref>H3:H61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0FFF8-9EE8-42B8-B642-356E2D017A79}">
  <dimension ref="B1:G34"/>
  <sheetViews>
    <sheetView zoomScale="115" zoomScaleNormal="115" workbookViewId="0">
      <selection activeCell="G18" sqref="G18"/>
    </sheetView>
  </sheetViews>
  <sheetFormatPr defaultRowHeight="15" x14ac:dyDescent="0.25"/>
  <cols>
    <col min="1" max="1" width="9.140625" style="47"/>
    <col min="2" max="2" width="38.5703125" style="47" bestFit="1" customWidth="1"/>
    <col min="3" max="3" width="16.85546875" style="47" bestFit="1" customWidth="1"/>
    <col min="4" max="4" width="17.140625" style="47" bestFit="1" customWidth="1"/>
    <col min="5" max="5" width="22.140625" style="47" customWidth="1"/>
    <col min="6" max="6" width="9.140625" style="47"/>
    <col min="7" max="7" width="38.5703125" style="47" bestFit="1" customWidth="1"/>
    <col min="8" max="8" width="16.7109375" style="47" bestFit="1" customWidth="1"/>
    <col min="9" max="9" width="9.140625" style="47"/>
    <col min="10" max="10" width="15.7109375" style="47" bestFit="1" customWidth="1"/>
    <col min="11" max="11" width="16.85546875" style="47" bestFit="1" customWidth="1"/>
    <col min="12" max="12" width="6" style="47" bestFit="1" customWidth="1"/>
    <col min="13" max="16384" width="9.140625" style="47"/>
  </cols>
  <sheetData>
    <row r="1" spans="2:4" x14ac:dyDescent="0.25">
      <c r="B1" s="47" t="s">
        <v>153</v>
      </c>
      <c r="C1" s="47" t="s">
        <v>152</v>
      </c>
    </row>
    <row r="2" spans="2:4" x14ac:dyDescent="0.25">
      <c r="B2" s="47" t="s">
        <v>149</v>
      </c>
      <c r="C2" s="58">
        <f>SUM(tab_principal[Total])</f>
        <v>2912000</v>
      </c>
    </row>
    <row r="3" spans="2:4" x14ac:dyDescent="0.25">
      <c r="B3" s="47" t="s">
        <v>150</v>
      </c>
      <c r="C3" s="58">
        <v>2912000</v>
      </c>
    </row>
    <row r="4" spans="2:4" x14ac:dyDescent="0.25">
      <c r="B4" s="47" t="s">
        <v>151</v>
      </c>
      <c r="C4" s="58">
        <f>C3-C2</f>
        <v>0</v>
      </c>
    </row>
    <row r="6" spans="2:4" x14ac:dyDescent="0.25">
      <c r="B6" s="56" t="s">
        <v>148</v>
      </c>
      <c r="C6" s="56" t="s">
        <v>104</v>
      </c>
      <c r="D6" s="47" t="s">
        <v>0</v>
      </c>
    </row>
    <row r="7" spans="2:4" x14ac:dyDescent="0.25">
      <c r="B7" s="47" t="s">
        <v>1</v>
      </c>
      <c r="C7" s="47" t="s">
        <v>108</v>
      </c>
      <c r="D7" s="2">
        <f>SUMIFS(tab_principal[Total],tab_principal[Categoria],Tabela5123[[#This Row],[Categoria]])</f>
        <v>990000</v>
      </c>
    </row>
    <row r="8" spans="2:4" x14ac:dyDescent="0.25">
      <c r="B8" s="47" t="s">
        <v>2</v>
      </c>
      <c r="C8" s="47" t="s">
        <v>109</v>
      </c>
      <c r="D8" s="60">
        <f>SUMIFS(tab_principal[Total],tab_principal[Categoria],Tabela5123[[#This Row],[Categoria]])</f>
        <v>6300</v>
      </c>
    </row>
    <row r="9" spans="2:4" x14ac:dyDescent="0.25">
      <c r="B9" s="47" t="s">
        <v>3</v>
      </c>
      <c r="C9" s="47" t="s">
        <v>110</v>
      </c>
      <c r="D9" s="60">
        <f>SUMIFS(tab_principal[Total],tab_principal[Categoria],Tabela5123[[#This Row],[Categoria]])</f>
        <v>16000</v>
      </c>
    </row>
    <row r="10" spans="2:4" x14ac:dyDescent="0.25">
      <c r="B10" s="47" t="s">
        <v>4</v>
      </c>
      <c r="C10" s="47" t="s">
        <v>123</v>
      </c>
      <c r="D10" s="60">
        <f>SUMIFS(tab_principal[Total],tab_principal[Categoria],Tabela5123[[#This Row],[Categoria]])</f>
        <v>100000</v>
      </c>
    </row>
    <row r="11" spans="2:4" x14ac:dyDescent="0.25">
      <c r="B11" s="47" t="s">
        <v>5</v>
      </c>
      <c r="C11" s="47" t="s">
        <v>124</v>
      </c>
      <c r="D11" s="60">
        <f>SUMIFS(tab_principal[Total],tab_principal[Categoria],Tabela5123[[#This Row],[Categoria]])</f>
        <v>1262900</v>
      </c>
    </row>
    <row r="12" spans="2:4" x14ac:dyDescent="0.25">
      <c r="B12" s="47" t="s">
        <v>6</v>
      </c>
      <c r="C12" s="47" t="s">
        <v>125</v>
      </c>
      <c r="D12" s="60">
        <f>SUMIFS(tab_principal[Total],tab_principal[Categoria],Tabela5123[[#This Row],[Categoria]])</f>
        <v>536800</v>
      </c>
    </row>
    <row r="13" spans="2:4" x14ac:dyDescent="0.25">
      <c r="B13" s="56" t="s">
        <v>7</v>
      </c>
      <c r="C13" s="56"/>
      <c r="D13" s="61">
        <f>SUBTOTAL(109,Tabela5123[R$])</f>
        <v>2912000</v>
      </c>
    </row>
    <row r="14" spans="2:4" x14ac:dyDescent="0.25">
      <c r="B14" s="56"/>
      <c r="C14" s="59"/>
      <c r="D14" s="62"/>
    </row>
    <row r="15" spans="2:4" x14ac:dyDescent="0.25">
      <c r="B15" s="63" t="s">
        <v>65</v>
      </c>
      <c r="C15" s="64" t="s">
        <v>66</v>
      </c>
      <c r="D15" s="65" t="s">
        <v>9</v>
      </c>
    </row>
    <row r="16" spans="2:4" x14ac:dyDescent="0.25">
      <c r="B16" s="66" t="s">
        <v>119</v>
      </c>
      <c r="C16" s="2">
        <f>SUMIFS(tab_principal[Total],tab_principal[Tipo de Verba],Tabela10136[[#This Row],[Tipo de Despesa]])</f>
        <v>1649100</v>
      </c>
      <c r="D16" s="67">
        <f>Tabela10136[[#This Row],[Total (R$)]]/Tabela10136[[#Totals],[Total (R$)]]</f>
        <v>0.56631181318681323</v>
      </c>
    </row>
    <row r="17" spans="2:7" x14ac:dyDescent="0.25">
      <c r="B17" s="66" t="s">
        <v>120</v>
      </c>
      <c r="C17" s="2">
        <f>SUMIFS(tab_principal[Total],tab_principal[Tipo de Verba],Tabela10136[[#This Row],[Tipo de Despesa]])</f>
        <v>1262900</v>
      </c>
      <c r="D17" s="67">
        <f>Tabela10136[[#This Row],[Total (R$)]]/Tabela10136[[#Totals],[Total (R$)]]</f>
        <v>0.43368818681318683</v>
      </c>
    </row>
    <row r="18" spans="2:7" x14ac:dyDescent="0.25">
      <c r="B18" s="66" t="s">
        <v>7</v>
      </c>
      <c r="C18" s="69">
        <f>SUBTOTAL(109,Tabela10136[Total (R$)])</f>
        <v>2912000</v>
      </c>
      <c r="D18" s="68">
        <f>SUBTOTAL(109,Tabela10136[Proporção])</f>
        <v>1</v>
      </c>
    </row>
    <row r="20" spans="2:7" x14ac:dyDescent="0.25">
      <c r="B20" s="47" t="s">
        <v>157</v>
      </c>
      <c r="C20" s="47" t="s">
        <v>152</v>
      </c>
    </row>
    <row r="21" spans="2:7" x14ac:dyDescent="0.25">
      <c r="B21" s="47" t="s">
        <v>155</v>
      </c>
      <c r="C21" s="70">
        <f>SUMIFS(tab_principal[Total],tab_principal[Cota de quem],"Comum")</f>
        <v>2127200</v>
      </c>
    </row>
    <row r="22" spans="2:7" x14ac:dyDescent="0.25">
      <c r="B22" s="47" t="s">
        <v>156</v>
      </c>
      <c r="C22" s="57">
        <f>C3-C21</f>
        <v>784800</v>
      </c>
    </row>
    <row r="23" spans="2:7" x14ac:dyDescent="0.25">
      <c r="B23" s="47" t="s">
        <v>154</v>
      </c>
      <c r="C23" s="57">
        <f>C22/4</f>
        <v>196200</v>
      </c>
    </row>
    <row r="25" spans="2:7" x14ac:dyDescent="0.25">
      <c r="B25" s="47" t="s">
        <v>159</v>
      </c>
      <c r="C25" s="47" t="s">
        <v>152</v>
      </c>
      <c r="D25" s="47" t="s">
        <v>158</v>
      </c>
      <c r="G25" s="57"/>
    </row>
    <row r="26" spans="2:7" x14ac:dyDescent="0.25">
      <c r="B26" s="47" t="s">
        <v>63</v>
      </c>
      <c r="C26" s="58">
        <f>SUMIFS(tab_principal[Total],tab_principal[Cota de quem],Tabela11[[#This Row],[Cotista]])</f>
        <v>196200</v>
      </c>
      <c r="D26" s="57">
        <f>$C$23-Tabela11[[#This Row],[Valor]]</f>
        <v>0</v>
      </c>
      <c r="G26" s="57"/>
    </row>
    <row r="27" spans="2:7" x14ac:dyDescent="0.25">
      <c r="B27" s="47" t="s">
        <v>61</v>
      </c>
      <c r="C27" s="58">
        <f>SUMIFS(tab_principal[Total],tab_principal[Cota de quem],Tabela11[[#This Row],[Cotista]])</f>
        <v>196200</v>
      </c>
      <c r="D27" s="57">
        <f>$C$23-Tabela11[[#This Row],[Valor]]</f>
        <v>0</v>
      </c>
      <c r="E27" s="57"/>
    </row>
    <row r="28" spans="2:7" x14ac:dyDescent="0.25">
      <c r="B28" s="47" t="s">
        <v>117</v>
      </c>
      <c r="C28" s="58">
        <f>SUMIFS(tab_principal[Total],tab_principal[Cota de quem],Tabela11[[#This Row],[Cotista]])</f>
        <v>196200</v>
      </c>
      <c r="D28" s="57">
        <f>$C$23-Tabela11[[#This Row],[Valor]]</f>
        <v>0</v>
      </c>
      <c r="G28" s="57"/>
    </row>
    <row r="29" spans="2:7" x14ac:dyDescent="0.25">
      <c r="B29" s="47" t="s">
        <v>118</v>
      </c>
      <c r="C29" s="58">
        <f>SUMIFS(tab_principal[Total],tab_principal[Cota de quem],Tabela11[[#This Row],[Cotista]])</f>
        <v>196200</v>
      </c>
      <c r="D29" s="57">
        <f>$C$23-Tabela11[[#This Row],[Valor]]</f>
        <v>0</v>
      </c>
    </row>
    <row r="30" spans="2:7" x14ac:dyDescent="0.25">
      <c r="C30" s="59">
        <f>SUBTOTAL(109,Tabela11[Valor])</f>
        <v>784800</v>
      </c>
      <c r="D30" s="2">
        <f>SUBTOTAL(109,Tabela11[Falta Utilizar])</f>
        <v>0</v>
      </c>
      <c r="E30" s="71" t="s">
        <v>160</v>
      </c>
      <c r="F30" s="72" t="str">
        <f>IF(Tabela11[[#Totals],[Valor]]+Tabela11[[#Totals],[Falta Utilizar]]=C22,"ok","algo errado")</f>
        <v>ok</v>
      </c>
    </row>
    <row r="32" spans="2:7" x14ac:dyDescent="0.25">
      <c r="C32" s="57"/>
    </row>
    <row r="33" spans="3:3" x14ac:dyDescent="0.25">
      <c r="C33" s="57"/>
    </row>
    <row r="34" spans="3:3" x14ac:dyDescent="0.25">
      <c r="C34" s="57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5">
    <tablePart r:id="rId2"/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245511AB-C987-44CC-8DA6-2B24B7AD3D2B}">
          <x14:formula1>
            <xm:f>aux!$B$3:$B$8</xm:f>
          </x14:formula1>
          <xm:sqref>C7:C12</xm:sqref>
        </x14:dataValidation>
        <x14:dataValidation type="list" allowBlank="1" showInputMessage="1" showErrorMessage="1" xr:uid="{881483CF-65C8-49E0-BA66-C7C22B769650}">
          <x14:formula1>
            <xm:f>aux!$E$3:$E$4</xm:f>
          </x14:formula1>
          <xm:sqref>B16:B17</xm:sqref>
        </x14:dataValidation>
        <x14:dataValidation type="list" allowBlank="1" showInputMessage="1" showErrorMessage="1" xr:uid="{A2E5E969-1AB9-4B87-A960-3560E3B77D08}">
          <x14:formula1>
            <xm:f>aux!$D$3:$D$8</xm:f>
          </x14:formula1>
          <xm:sqref>B26:B29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8498-EB1E-4BBF-AAF4-64964A6FA4C1}">
  <dimension ref="A3:E93"/>
  <sheetViews>
    <sheetView workbookViewId="0">
      <selection activeCell="B16" sqref="B16"/>
    </sheetView>
  </sheetViews>
  <sheetFormatPr defaultRowHeight="15" x14ac:dyDescent="0.25"/>
  <cols>
    <col min="1" max="1" width="73.42578125" bestFit="1" customWidth="1"/>
    <col min="2" max="2" width="21.7109375" bestFit="1" customWidth="1"/>
    <col min="3" max="3" width="19.85546875" bestFit="1" customWidth="1"/>
    <col min="4" max="4" width="13.7109375" bestFit="1" customWidth="1"/>
    <col min="5" max="5" width="16" bestFit="1" customWidth="1"/>
    <col min="6" max="6" width="22.5703125" bestFit="1" customWidth="1"/>
    <col min="7" max="7" width="7.7109375" bestFit="1" customWidth="1"/>
    <col min="8" max="8" width="7" bestFit="1" customWidth="1"/>
    <col min="9" max="9" width="19.85546875" bestFit="1" customWidth="1"/>
    <col min="10" max="10" width="9.7109375" bestFit="1" customWidth="1"/>
    <col min="11" max="11" width="6.28515625" bestFit="1" customWidth="1"/>
    <col min="12" max="12" width="10" bestFit="1" customWidth="1"/>
    <col min="13" max="13" width="12" bestFit="1" customWidth="1"/>
    <col min="14" max="14" width="7.7109375" bestFit="1" customWidth="1"/>
    <col min="15" max="15" width="7" bestFit="1" customWidth="1"/>
    <col min="16" max="16" width="13.7109375" bestFit="1" customWidth="1"/>
    <col min="17" max="17" width="9.7109375" bestFit="1" customWidth="1"/>
    <col min="18" max="18" width="6.28515625" bestFit="1" customWidth="1"/>
    <col min="19" max="19" width="10" bestFit="1" customWidth="1"/>
    <col min="20" max="20" width="12" bestFit="1" customWidth="1"/>
    <col min="21" max="21" width="7.7109375" bestFit="1" customWidth="1"/>
    <col min="22" max="22" width="7" bestFit="1" customWidth="1"/>
    <col min="23" max="24" width="14.42578125" bestFit="1" customWidth="1"/>
    <col min="25" max="25" width="12.28515625" bestFit="1" customWidth="1"/>
    <col min="26" max="26" width="13.42578125" bestFit="1" customWidth="1"/>
    <col min="27" max="27" width="16" bestFit="1" customWidth="1"/>
    <col min="28" max="28" width="14.42578125" bestFit="1" customWidth="1"/>
    <col min="29" max="29" width="7.85546875" bestFit="1" customWidth="1"/>
    <col min="30" max="30" width="26.7109375" bestFit="1" customWidth="1"/>
    <col min="31" max="31" width="24.85546875" bestFit="1" customWidth="1"/>
    <col min="32" max="33" width="18.7109375" bestFit="1" customWidth="1"/>
  </cols>
  <sheetData>
    <row r="3" spans="1:5" x14ac:dyDescent="0.25">
      <c r="A3" s="73" t="s">
        <v>162</v>
      </c>
      <c r="B3" t="s">
        <v>164</v>
      </c>
      <c r="C3" t="s">
        <v>165</v>
      </c>
      <c r="D3" t="s">
        <v>166</v>
      </c>
      <c r="E3" t="s">
        <v>167</v>
      </c>
    </row>
    <row r="4" spans="1:5" x14ac:dyDescent="0.25">
      <c r="A4" s="6" t="s">
        <v>118</v>
      </c>
      <c r="B4" s="82">
        <v>40875.5</v>
      </c>
      <c r="C4" s="82">
        <v>42</v>
      </c>
      <c r="D4" s="82">
        <v>3</v>
      </c>
      <c r="E4" s="16">
        <v>196200</v>
      </c>
    </row>
    <row r="5" spans="1:5" x14ac:dyDescent="0.25">
      <c r="A5" s="74" t="s">
        <v>108</v>
      </c>
      <c r="B5" s="82">
        <v>10900</v>
      </c>
      <c r="C5" s="82">
        <v>36</v>
      </c>
      <c r="D5" s="82">
        <v>2</v>
      </c>
      <c r="E5" s="16">
        <v>196200</v>
      </c>
    </row>
    <row r="6" spans="1:5" x14ac:dyDescent="0.25">
      <c r="A6" s="75" t="s">
        <v>143</v>
      </c>
      <c r="B6" s="82">
        <v>6900</v>
      </c>
      <c r="C6" s="82">
        <v>18</v>
      </c>
      <c r="D6" s="82">
        <v>1</v>
      </c>
      <c r="E6" s="16">
        <v>124200</v>
      </c>
    </row>
    <row r="7" spans="1:5" x14ac:dyDescent="0.25">
      <c r="A7" s="75" t="s">
        <v>147</v>
      </c>
      <c r="B7" s="82">
        <v>4000</v>
      </c>
      <c r="C7" s="82">
        <v>18</v>
      </c>
      <c r="D7" s="82">
        <v>1</v>
      </c>
      <c r="E7" s="16">
        <v>72000</v>
      </c>
    </row>
    <row r="8" spans="1:5" x14ac:dyDescent="0.25">
      <c r="A8" s="74" t="s">
        <v>123</v>
      </c>
      <c r="B8" s="82">
        <v>0</v>
      </c>
      <c r="C8" s="82">
        <v>1</v>
      </c>
      <c r="D8" s="82">
        <v>1</v>
      </c>
      <c r="E8" s="16">
        <v>0</v>
      </c>
    </row>
    <row r="9" spans="1:5" x14ac:dyDescent="0.25">
      <c r="A9" s="75" t="s">
        <v>103</v>
      </c>
      <c r="B9" s="82">
        <v>0</v>
      </c>
      <c r="C9" s="82">
        <v>1</v>
      </c>
      <c r="D9" s="82">
        <v>1</v>
      </c>
      <c r="E9" s="16">
        <v>0</v>
      </c>
    </row>
    <row r="10" spans="1:5" x14ac:dyDescent="0.25">
      <c r="A10" s="74" t="s">
        <v>109</v>
      </c>
      <c r="B10" s="82">
        <v>2385</v>
      </c>
      <c r="C10" s="82">
        <v>2</v>
      </c>
      <c r="D10" s="82">
        <v>0</v>
      </c>
      <c r="E10" s="16">
        <v>0</v>
      </c>
    </row>
    <row r="11" spans="1:5" x14ac:dyDescent="0.25">
      <c r="A11" s="75" t="s">
        <v>138</v>
      </c>
      <c r="B11" s="82">
        <v>2035</v>
      </c>
      <c r="C11" s="82">
        <v>1</v>
      </c>
      <c r="D11" s="82">
        <v>0</v>
      </c>
      <c r="E11" s="16">
        <v>0</v>
      </c>
    </row>
    <row r="12" spans="1:5" x14ac:dyDescent="0.25">
      <c r="A12" s="75" t="s">
        <v>137</v>
      </c>
      <c r="B12" s="82">
        <v>350</v>
      </c>
      <c r="C12" s="82">
        <v>1</v>
      </c>
      <c r="D12" s="82">
        <v>0</v>
      </c>
      <c r="E12" s="16">
        <v>0</v>
      </c>
    </row>
    <row r="13" spans="1:5" x14ac:dyDescent="0.25">
      <c r="A13" s="74" t="s">
        <v>110</v>
      </c>
      <c r="B13" s="82">
        <v>14000</v>
      </c>
      <c r="C13" s="82">
        <v>2</v>
      </c>
      <c r="D13" s="82">
        <v>0</v>
      </c>
      <c r="E13" s="16">
        <v>0</v>
      </c>
    </row>
    <row r="14" spans="1:5" x14ac:dyDescent="0.25">
      <c r="A14" s="75" t="s">
        <v>101</v>
      </c>
      <c r="B14" s="82">
        <v>10000</v>
      </c>
      <c r="C14" s="82">
        <v>1</v>
      </c>
      <c r="D14" s="82">
        <v>0</v>
      </c>
      <c r="E14" s="16">
        <v>0</v>
      </c>
    </row>
    <row r="15" spans="1:5" x14ac:dyDescent="0.25">
      <c r="A15" s="75" t="s">
        <v>102</v>
      </c>
      <c r="B15" s="82">
        <v>4000</v>
      </c>
      <c r="C15" s="82">
        <v>1</v>
      </c>
      <c r="D15" s="82">
        <v>0</v>
      </c>
      <c r="E15" s="16">
        <v>0</v>
      </c>
    </row>
    <row r="16" spans="1:5" x14ac:dyDescent="0.25">
      <c r="A16" s="74" t="s">
        <v>124</v>
      </c>
      <c r="B16" s="82">
        <v>13590.5</v>
      </c>
      <c r="C16" s="82">
        <v>1</v>
      </c>
      <c r="D16" s="82">
        <v>0</v>
      </c>
      <c r="E16" s="16">
        <v>0</v>
      </c>
    </row>
    <row r="17" spans="1:5" x14ac:dyDescent="0.25">
      <c r="A17" s="75" t="s">
        <v>174</v>
      </c>
      <c r="B17" s="82">
        <v>13590.5</v>
      </c>
      <c r="C17" s="82">
        <v>1</v>
      </c>
      <c r="D17" s="82">
        <v>0</v>
      </c>
      <c r="E17" s="16">
        <v>0</v>
      </c>
    </row>
    <row r="18" spans="1:5" x14ac:dyDescent="0.25">
      <c r="A18" s="6" t="s">
        <v>111</v>
      </c>
      <c r="B18" s="82">
        <v>1976103</v>
      </c>
      <c r="C18" s="82">
        <v>148</v>
      </c>
      <c r="D18" s="82">
        <v>41</v>
      </c>
      <c r="E18" s="16">
        <v>2127200</v>
      </c>
    </row>
    <row r="19" spans="1:5" x14ac:dyDescent="0.25">
      <c r="A19" s="74" t="s">
        <v>108</v>
      </c>
      <c r="B19" s="82">
        <v>14900</v>
      </c>
      <c r="C19" s="82">
        <v>90</v>
      </c>
      <c r="D19" s="82">
        <v>5</v>
      </c>
      <c r="E19" s="16">
        <v>223200</v>
      </c>
    </row>
    <row r="20" spans="1:5" x14ac:dyDescent="0.25">
      <c r="A20" s="75" t="s">
        <v>115</v>
      </c>
      <c r="B20" s="82">
        <v>1500</v>
      </c>
      <c r="C20" s="82">
        <v>18</v>
      </c>
      <c r="D20" s="82">
        <v>2</v>
      </c>
      <c r="E20" s="16">
        <v>54000</v>
      </c>
    </row>
    <row r="21" spans="1:5" x14ac:dyDescent="0.25">
      <c r="A21" s="75" t="s">
        <v>114</v>
      </c>
      <c r="B21" s="82">
        <v>3000</v>
      </c>
      <c r="C21" s="82">
        <v>18</v>
      </c>
      <c r="D21" s="82">
        <v>0</v>
      </c>
      <c r="E21" s="16">
        <v>0</v>
      </c>
    </row>
    <row r="22" spans="1:5" x14ac:dyDescent="0.25">
      <c r="A22" s="75" t="s">
        <v>113</v>
      </c>
      <c r="B22" s="82">
        <v>7200</v>
      </c>
      <c r="C22" s="82">
        <v>18</v>
      </c>
      <c r="D22" s="82">
        <v>1</v>
      </c>
      <c r="E22" s="16">
        <v>129600</v>
      </c>
    </row>
    <row r="23" spans="1:5" x14ac:dyDescent="0.25">
      <c r="A23" s="75" t="s">
        <v>122</v>
      </c>
      <c r="B23" s="82">
        <v>1100</v>
      </c>
      <c r="C23" s="82">
        <v>18</v>
      </c>
      <c r="D23" s="82">
        <v>2</v>
      </c>
      <c r="E23" s="16">
        <v>39600</v>
      </c>
    </row>
    <row r="24" spans="1:5" x14ac:dyDescent="0.25">
      <c r="A24" s="75" t="s">
        <v>121</v>
      </c>
      <c r="B24" s="82">
        <v>2100</v>
      </c>
      <c r="C24" s="82">
        <v>18</v>
      </c>
      <c r="D24" s="82">
        <v>0</v>
      </c>
      <c r="E24" s="16">
        <v>0</v>
      </c>
    </row>
    <row r="25" spans="1:5" x14ac:dyDescent="0.25">
      <c r="A25" s="74" t="s">
        <v>123</v>
      </c>
      <c r="B25" s="82">
        <v>115803</v>
      </c>
      <c r="C25" s="82">
        <v>43</v>
      </c>
      <c r="D25" s="82">
        <v>1</v>
      </c>
      <c r="E25" s="16">
        <v>100000</v>
      </c>
    </row>
    <row r="26" spans="1:5" x14ac:dyDescent="0.25">
      <c r="A26" s="75" t="s">
        <v>103</v>
      </c>
      <c r="B26" s="82">
        <v>0</v>
      </c>
      <c r="C26" s="82">
        <v>1</v>
      </c>
      <c r="D26" s="82">
        <v>0</v>
      </c>
      <c r="E26" s="16">
        <v>0</v>
      </c>
    </row>
    <row r="27" spans="1:5" x14ac:dyDescent="0.25">
      <c r="A27" s="75" t="s">
        <v>129</v>
      </c>
      <c r="B27" s="82">
        <v>330</v>
      </c>
      <c r="C27" s="82">
        <v>2</v>
      </c>
      <c r="D27" s="82">
        <v>0</v>
      </c>
      <c r="E27" s="16">
        <v>0</v>
      </c>
    </row>
    <row r="28" spans="1:5" x14ac:dyDescent="0.25">
      <c r="A28" s="75" t="s">
        <v>128</v>
      </c>
      <c r="B28" s="82">
        <v>55</v>
      </c>
      <c r="C28" s="82">
        <v>18</v>
      </c>
      <c r="D28" s="82">
        <v>0</v>
      </c>
      <c r="E28" s="16">
        <v>0</v>
      </c>
    </row>
    <row r="29" spans="1:5" x14ac:dyDescent="0.25">
      <c r="A29" s="75" t="s">
        <v>127</v>
      </c>
      <c r="B29" s="82">
        <v>22</v>
      </c>
      <c r="C29" s="82">
        <v>18</v>
      </c>
      <c r="D29" s="82">
        <v>0</v>
      </c>
      <c r="E29" s="16">
        <v>0</v>
      </c>
    </row>
    <row r="30" spans="1:5" x14ac:dyDescent="0.25">
      <c r="A30" s="75" t="s">
        <v>77</v>
      </c>
      <c r="B30" s="82">
        <v>15000</v>
      </c>
      <c r="C30" s="82">
        <v>1</v>
      </c>
      <c r="D30" s="82">
        <v>0</v>
      </c>
      <c r="E30" s="16">
        <v>0</v>
      </c>
    </row>
    <row r="31" spans="1:5" x14ac:dyDescent="0.25">
      <c r="A31" s="75" t="s">
        <v>81</v>
      </c>
      <c r="B31" s="82">
        <v>396</v>
      </c>
      <c r="C31" s="82">
        <v>2</v>
      </c>
      <c r="D31" s="82">
        <v>0</v>
      </c>
      <c r="E31" s="16">
        <v>0</v>
      </c>
    </row>
    <row r="32" spans="1:5" x14ac:dyDescent="0.25">
      <c r="A32" s="75" t="s">
        <v>175</v>
      </c>
      <c r="B32" s="82">
        <v>100000</v>
      </c>
      <c r="C32" s="82">
        <v>1</v>
      </c>
      <c r="D32" s="82">
        <v>1</v>
      </c>
      <c r="E32" s="16">
        <v>100000</v>
      </c>
    </row>
    <row r="33" spans="1:5" x14ac:dyDescent="0.25">
      <c r="A33" s="74" t="s">
        <v>109</v>
      </c>
      <c r="B33" s="82">
        <v>700</v>
      </c>
      <c r="C33" s="82">
        <v>2</v>
      </c>
      <c r="D33" s="82">
        <v>18</v>
      </c>
      <c r="E33" s="16">
        <v>6300</v>
      </c>
    </row>
    <row r="34" spans="1:5" x14ac:dyDescent="0.25">
      <c r="A34" s="75" t="s">
        <v>171</v>
      </c>
      <c r="B34" s="82">
        <v>350</v>
      </c>
      <c r="C34" s="82">
        <v>1</v>
      </c>
      <c r="D34" s="82">
        <v>14</v>
      </c>
      <c r="E34" s="16">
        <v>4900</v>
      </c>
    </row>
    <row r="35" spans="1:5" x14ac:dyDescent="0.25">
      <c r="A35" s="75" t="s">
        <v>173</v>
      </c>
      <c r="B35" s="82">
        <v>350</v>
      </c>
      <c r="C35" s="82">
        <v>1</v>
      </c>
      <c r="D35" s="82">
        <v>4</v>
      </c>
      <c r="E35" s="16">
        <v>1400</v>
      </c>
    </row>
    <row r="36" spans="1:5" x14ac:dyDescent="0.25">
      <c r="A36" s="74" t="s">
        <v>110</v>
      </c>
      <c r="B36" s="82">
        <v>8000</v>
      </c>
      <c r="C36" s="82">
        <v>2</v>
      </c>
      <c r="D36" s="82">
        <v>4</v>
      </c>
      <c r="E36" s="16">
        <v>16000</v>
      </c>
    </row>
    <row r="37" spans="1:5" x14ac:dyDescent="0.25">
      <c r="A37" s="75" t="s">
        <v>170</v>
      </c>
      <c r="B37" s="82">
        <v>4000</v>
      </c>
      <c r="C37" s="82">
        <v>1</v>
      </c>
      <c r="D37" s="82">
        <v>2</v>
      </c>
      <c r="E37" s="16">
        <v>8000</v>
      </c>
    </row>
    <row r="38" spans="1:5" x14ac:dyDescent="0.25">
      <c r="A38" s="75" t="s">
        <v>172</v>
      </c>
      <c r="B38" s="82">
        <v>4000</v>
      </c>
      <c r="C38" s="82">
        <v>1</v>
      </c>
      <c r="D38" s="82">
        <v>2</v>
      </c>
      <c r="E38" s="16">
        <v>8000</v>
      </c>
    </row>
    <row r="39" spans="1:5" x14ac:dyDescent="0.25">
      <c r="A39" s="74" t="s">
        <v>124</v>
      </c>
      <c r="B39" s="82">
        <v>1299900</v>
      </c>
      <c r="C39" s="82">
        <v>9</v>
      </c>
      <c r="D39" s="82">
        <v>11</v>
      </c>
      <c r="E39" s="16">
        <v>1244900</v>
      </c>
    </row>
    <row r="40" spans="1:5" x14ac:dyDescent="0.25">
      <c r="A40" s="75" t="s">
        <v>75</v>
      </c>
      <c r="B40" s="82">
        <v>7500</v>
      </c>
      <c r="C40" s="82">
        <v>1</v>
      </c>
      <c r="D40" s="82">
        <v>1</v>
      </c>
      <c r="E40" s="16">
        <v>7500</v>
      </c>
    </row>
    <row r="41" spans="1:5" x14ac:dyDescent="0.25">
      <c r="A41" s="75" t="s">
        <v>71</v>
      </c>
      <c r="B41" s="82">
        <v>3000</v>
      </c>
      <c r="C41" s="82">
        <v>1</v>
      </c>
      <c r="D41" s="82">
        <v>1</v>
      </c>
      <c r="E41" s="16">
        <v>3000</v>
      </c>
    </row>
    <row r="42" spans="1:5" x14ac:dyDescent="0.25">
      <c r="A42" s="75" t="s">
        <v>139</v>
      </c>
      <c r="B42" s="82">
        <v>15000</v>
      </c>
      <c r="C42" s="82">
        <v>1</v>
      </c>
      <c r="D42" s="82">
        <v>4</v>
      </c>
      <c r="E42" s="16">
        <v>60000</v>
      </c>
    </row>
    <row r="43" spans="1:5" x14ac:dyDescent="0.25">
      <c r="A43" s="75" t="s">
        <v>70</v>
      </c>
      <c r="B43" s="82">
        <v>50000</v>
      </c>
      <c r="C43" s="82">
        <v>1</v>
      </c>
      <c r="D43" s="82">
        <v>1</v>
      </c>
      <c r="E43" s="16">
        <v>50000</v>
      </c>
    </row>
    <row r="44" spans="1:5" x14ac:dyDescent="0.25">
      <c r="A44" s="75" t="s">
        <v>27</v>
      </c>
      <c r="B44" s="82">
        <v>1000000</v>
      </c>
      <c r="C44" s="82">
        <v>1</v>
      </c>
      <c r="D44" s="82">
        <v>1</v>
      </c>
      <c r="E44" s="16">
        <v>1000000</v>
      </c>
    </row>
    <row r="45" spans="1:5" x14ac:dyDescent="0.25">
      <c r="A45" s="75" t="s">
        <v>73</v>
      </c>
      <c r="B45" s="82">
        <v>17900</v>
      </c>
      <c r="C45" s="82">
        <v>1</v>
      </c>
      <c r="D45" s="82">
        <v>1</v>
      </c>
      <c r="E45" s="16">
        <v>17900</v>
      </c>
    </row>
    <row r="46" spans="1:5" x14ac:dyDescent="0.25">
      <c r="A46" s="75" t="s">
        <v>74</v>
      </c>
      <c r="B46" s="82">
        <v>6500</v>
      </c>
      <c r="C46" s="82">
        <v>1</v>
      </c>
      <c r="D46" s="82">
        <v>1</v>
      </c>
      <c r="E46" s="16">
        <v>6500</v>
      </c>
    </row>
    <row r="47" spans="1:5" x14ac:dyDescent="0.25">
      <c r="A47" s="75" t="s">
        <v>76</v>
      </c>
      <c r="B47" s="82">
        <v>100000</v>
      </c>
      <c r="C47" s="82">
        <v>1</v>
      </c>
      <c r="D47" s="82">
        <v>0</v>
      </c>
      <c r="E47" s="16">
        <v>0</v>
      </c>
    </row>
    <row r="48" spans="1:5" x14ac:dyDescent="0.25">
      <c r="A48" s="75" t="s">
        <v>176</v>
      </c>
      <c r="B48" s="82">
        <v>100000</v>
      </c>
      <c r="C48" s="82">
        <v>1</v>
      </c>
      <c r="D48" s="82">
        <v>1</v>
      </c>
      <c r="E48" s="16">
        <v>100000</v>
      </c>
    </row>
    <row r="49" spans="1:5" x14ac:dyDescent="0.25">
      <c r="A49" s="74" t="s">
        <v>125</v>
      </c>
      <c r="B49" s="82">
        <v>536800</v>
      </c>
      <c r="C49" s="82">
        <v>2</v>
      </c>
      <c r="D49" s="82">
        <v>2</v>
      </c>
      <c r="E49" s="16">
        <v>536800</v>
      </c>
    </row>
    <row r="50" spans="1:5" x14ac:dyDescent="0.25">
      <c r="A50" s="75" t="s">
        <v>28</v>
      </c>
      <c r="B50" s="82">
        <v>100000</v>
      </c>
      <c r="C50" s="82">
        <v>1</v>
      </c>
      <c r="D50" s="82">
        <v>1</v>
      </c>
      <c r="E50" s="16">
        <v>100000</v>
      </c>
    </row>
    <row r="51" spans="1:5" x14ac:dyDescent="0.25">
      <c r="A51" s="75" t="s">
        <v>177</v>
      </c>
      <c r="B51" s="82">
        <v>436800</v>
      </c>
      <c r="C51" s="82">
        <v>1</v>
      </c>
      <c r="D51" s="82">
        <v>1</v>
      </c>
      <c r="E51" s="16">
        <v>436800</v>
      </c>
    </row>
    <row r="52" spans="1:5" x14ac:dyDescent="0.25">
      <c r="A52" s="6" t="s">
        <v>117</v>
      </c>
      <c r="B52" s="82">
        <v>40875.5</v>
      </c>
      <c r="C52" s="82">
        <v>42</v>
      </c>
      <c r="D52" s="82">
        <v>3</v>
      </c>
      <c r="E52" s="16">
        <v>196200</v>
      </c>
    </row>
    <row r="53" spans="1:5" x14ac:dyDescent="0.25">
      <c r="A53" s="74" t="s">
        <v>108</v>
      </c>
      <c r="B53" s="82">
        <v>10900</v>
      </c>
      <c r="C53" s="82">
        <v>36</v>
      </c>
      <c r="D53" s="82">
        <v>2</v>
      </c>
      <c r="E53" s="16">
        <v>196200</v>
      </c>
    </row>
    <row r="54" spans="1:5" x14ac:dyDescent="0.25">
      <c r="A54" s="75" t="s">
        <v>142</v>
      </c>
      <c r="B54" s="82">
        <v>6900</v>
      </c>
      <c r="C54" s="82">
        <v>18</v>
      </c>
      <c r="D54" s="82">
        <v>1</v>
      </c>
      <c r="E54" s="16">
        <v>124200</v>
      </c>
    </row>
    <row r="55" spans="1:5" x14ac:dyDescent="0.25">
      <c r="A55" s="75" t="s">
        <v>146</v>
      </c>
      <c r="B55" s="82">
        <v>4000</v>
      </c>
      <c r="C55" s="82">
        <v>18</v>
      </c>
      <c r="D55" s="82">
        <v>1</v>
      </c>
      <c r="E55" s="16">
        <v>72000</v>
      </c>
    </row>
    <row r="56" spans="1:5" x14ac:dyDescent="0.25">
      <c r="A56" s="74" t="s">
        <v>123</v>
      </c>
      <c r="B56" s="82">
        <v>0</v>
      </c>
      <c r="C56" s="82">
        <v>1</v>
      </c>
      <c r="D56" s="82">
        <v>1</v>
      </c>
      <c r="E56" s="16">
        <v>0</v>
      </c>
    </row>
    <row r="57" spans="1:5" x14ac:dyDescent="0.25">
      <c r="A57" s="75" t="s">
        <v>103</v>
      </c>
      <c r="B57" s="82">
        <v>0</v>
      </c>
      <c r="C57" s="82">
        <v>1</v>
      </c>
      <c r="D57" s="82">
        <v>1</v>
      </c>
      <c r="E57" s="16">
        <v>0</v>
      </c>
    </row>
    <row r="58" spans="1:5" x14ac:dyDescent="0.25">
      <c r="A58" s="74" t="s">
        <v>109</v>
      </c>
      <c r="B58" s="82">
        <v>2385</v>
      </c>
      <c r="C58" s="82">
        <v>2</v>
      </c>
      <c r="D58" s="82">
        <v>0</v>
      </c>
      <c r="E58" s="16">
        <v>0</v>
      </c>
    </row>
    <row r="59" spans="1:5" x14ac:dyDescent="0.25">
      <c r="A59" s="75" t="s">
        <v>135</v>
      </c>
      <c r="B59" s="82">
        <v>2035</v>
      </c>
      <c r="C59" s="82">
        <v>1</v>
      </c>
      <c r="D59" s="82">
        <v>0</v>
      </c>
      <c r="E59" s="16">
        <v>0</v>
      </c>
    </row>
    <row r="60" spans="1:5" x14ac:dyDescent="0.25">
      <c r="A60" s="75" t="s">
        <v>136</v>
      </c>
      <c r="B60" s="82">
        <v>350</v>
      </c>
      <c r="C60" s="82">
        <v>1</v>
      </c>
      <c r="D60" s="82">
        <v>0</v>
      </c>
      <c r="E60" s="16">
        <v>0</v>
      </c>
    </row>
    <row r="61" spans="1:5" x14ac:dyDescent="0.25">
      <c r="A61" s="74" t="s">
        <v>110</v>
      </c>
      <c r="B61" s="82">
        <v>14000</v>
      </c>
      <c r="C61" s="82">
        <v>2</v>
      </c>
      <c r="D61" s="82">
        <v>0</v>
      </c>
      <c r="E61" s="16">
        <v>0</v>
      </c>
    </row>
    <row r="62" spans="1:5" x14ac:dyDescent="0.25">
      <c r="A62" s="75" t="s">
        <v>99</v>
      </c>
      <c r="B62" s="82">
        <v>10000</v>
      </c>
      <c r="C62" s="82">
        <v>1</v>
      </c>
      <c r="D62" s="82">
        <v>0</v>
      </c>
      <c r="E62" s="16">
        <v>0</v>
      </c>
    </row>
    <row r="63" spans="1:5" x14ac:dyDescent="0.25">
      <c r="A63" s="75" t="s">
        <v>100</v>
      </c>
      <c r="B63" s="82">
        <v>4000</v>
      </c>
      <c r="C63" s="82">
        <v>1</v>
      </c>
      <c r="D63" s="82">
        <v>0</v>
      </c>
      <c r="E63" s="16">
        <v>0</v>
      </c>
    </row>
    <row r="64" spans="1:5" x14ac:dyDescent="0.25">
      <c r="A64" s="74" t="s">
        <v>124</v>
      </c>
      <c r="B64" s="82">
        <v>13590.5</v>
      </c>
      <c r="C64" s="82">
        <v>1</v>
      </c>
      <c r="D64" s="82">
        <v>0</v>
      </c>
      <c r="E64" s="16">
        <v>0</v>
      </c>
    </row>
    <row r="65" spans="1:5" x14ac:dyDescent="0.25">
      <c r="A65" s="75" t="s">
        <v>174</v>
      </c>
      <c r="B65" s="82">
        <v>13590.5</v>
      </c>
      <c r="C65" s="82">
        <v>1</v>
      </c>
      <c r="D65" s="82">
        <v>0</v>
      </c>
      <c r="E65" s="16">
        <v>0</v>
      </c>
    </row>
    <row r="66" spans="1:5" x14ac:dyDescent="0.25">
      <c r="A66" s="6" t="s">
        <v>61</v>
      </c>
      <c r="B66" s="82">
        <v>48285</v>
      </c>
      <c r="C66" s="82">
        <v>59</v>
      </c>
      <c r="D66" s="82">
        <v>3</v>
      </c>
      <c r="E66" s="16">
        <v>196200</v>
      </c>
    </row>
    <row r="67" spans="1:5" x14ac:dyDescent="0.25">
      <c r="A67" s="74" t="s">
        <v>108</v>
      </c>
      <c r="B67" s="82">
        <v>13900</v>
      </c>
      <c r="C67" s="82">
        <v>54</v>
      </c>
      <c r="D67" s="82">
        <v>2</v>
      </c>
      <c r="E67" s="16">
        <v>178200</v>
      </c>
    </row>
    <row r="68" spans="1:5" x14ac:dyDescent="0.25">
      <c r="A68" s="75" t="s">
        <v>141</v>
      </c>
      <c r="B68" s="82">
        <v>6900</v>
      </c>
      <c r="C68" s="82">
        <v>18</v>
      </c>
      <c r="D68" s="82">
        <v>1</v>
      </c>
      <c r="E68" s="16">
        <v>124200</v>
      </c>
    </row>
    <row r="69" spans="1:5" x14ac:dyDescent="0.25">
      <c r="A69" s="75" t="s">
        <v>145</v>
      </c>
      <c r="B69" s="82">
        <v>4000</v>
      </c>
      <c r="C69" s="82">
        <v>18</v>
      </c>
      <c r="D69" s="82">
        <v>0</v>
      </c>
      <c r="E69" s="16">
        <v>0</v>
      </c>
    </row>
    <row r="70" spans="1:5" x14ac:dyDescent="0.25">
      <c r="A70" s="75" t="s">
        <v>161</v>
      </c>
      <c r="B70" s="82">
        <v>3000</v>
      </c>
      <c r="C70" s="82">
        <v>18</v>
      </c>
      <c r="D70" s="82">
        <v>1</v>
      </c>
      <c r="E70" s="16">
        <v>54000</v>
      </c>
    </row>
    <row r="71" spans="1:5" x14ac:dyDescent="0.25">
      <c r="A71" s="74" t="s">
        <v>109</v>
      </c>
      <c r="B71" s="82">
        <v>2385</v>
      </c>
      <c r="C71" s="82">
        <v>2</v>
      </c>
      <c r="D71" s="82">
        <v>0</v>
      </c>
      <c r="E71" s="16">
        <v>0</v>
      </c>
    </row>
    <row r="72" spans="1:5" x14ac:dyDescent="0.25">
      <c r="A72" s="75" t="s">
        <v>133</v>
      </c>
      <c r="B72" s="82">
        <v>2035</v>
      </c>
      <c r="C72" s="82">
        <v>1</v>
      </c>
      <c r="D72" s="82">
        <v>0</v>
      </c>
      <c r="E72" s="16">
        <v>0</v>
      </c>
    </row>
    <row r="73" spans="1:5" x14ac:dyDescent="0.25">
      <c r="A73" s="75" t="s">
        <v>134</v>
      </c>
      <c r="B73" s="82">
        <v>350</v>
      </c>
      <c r="C73" s="82">
        <v>1</v>
      </c>
      <c r="D73" s="82">
        <v>0</v>
      </c>
      <c r="E73" s="16">
        <v>0</v>
      </c>
    </row>
    <row r="74" spans="1:5" x14ac:dyDescent="0.25">
      <c r="A74" s="74" t="s">
        <v>110</v>
      </c>
      <c r="B74" s="82">
        <v>14000</v>
      </c>
      <c r="C74" s="82">
        <v>2</v>
      </c>
      <c r="D74" s="82">
        <v>0</v>
      </c>
      <c r="E74" s="16">
        <v>0</v>
      </c>
    </row>
    <row r="75" spans="1:5" x14ac:dyDescent="0.25">
      <c r="A75" s="75" t="s">
        <v>98</v>
      </c>
      <c r="B75" s="82">
        <v>10000</v>
      </c>
      <c r="C75" s="82">
        <v>1</v>
      </c>
      <c r="D75" s="82">
        <v>0</v>
      </c>
      <c r="E75" s="16">
        <v>0</v>
      </c>
    </row>
    <row r="76" spans="1:5" x14ac:dyDescent="0.25">
      <c r="A76" s="75" t="s">
        <v>96</v>
      </c>
      <c r="B76" s="82">
        <v>4000</v>
      </c>
      <c r="C76" s="82">
        <v>1</v>
      </c>
      <c r="D76" s="82">
        <v>0</v>
      </c>
      <c r="E76" s="16">
        <v>0</v>
      </c>
    </row>
    <row r="77" spans="1:5" x14ac:dyDescent="0.25">
      <c r="A77" s="74" t="s">
        <v>124</v>
      </c>
      <c r="B77" s="82">
        <v>18000</v>
      </c>
      <c r="C77" s="82">
        <v>1</v>
      </c>
      <c r="D77" s="82">
        <v>1</v>
      </c>
      <c r="E77" s="16">
        <v>18000</v>
      </c>
    </row>
    <row r="78" spans="1:5" x14ac:dyDescent="0.25">
      <c r="A78" s="75" t="s">
        <v>168</v>
      </c>
      <c r="B78" s="82">
        <v>18000</v>
      </c>
      <c r="C78" s="82">
        <v>1</v>
      </c>
      <c r="D78" s="82">
        <v>1</v>
      </c>
      <c r="E78" s="16">
        <v>18000</v>
      </c>
    </row>
    <row r="79" spans="1:5" x14ac:dyDescent="0.25">
      <c r="A79" s="6" t="s">
        <v>63</v>
      </c>
      <c r="B79" s="82">
        <v>40875.5</v>
      </c>
      <c r="C79" s="82">
        <v>42</v>
      </c>
      <c r="D79" s="82">
        <v>3</v>
      </c>
      <c r="E79" s="16">
        <v>196200</v>
      </c>
    </row>
    <row r="80" spans="1:5" x14ac:dyDescent="0.25">
      <c r="A80" s="74" t="s">
        <v>108</v>
      </c>
      <c r="B80" s="82">
        <v>10900</v>
      </c>
      <c r="C80" s="82">
        <v>36</v>
      </c>
      <c r="D80" s="82">
        <v>2</v>
      </c>
      <c r="E80" s="16">
        <v>196200</v>
      </c>
    </row>
    <row r="81" spans="1:5" x14ac:dyDescent="0.25">
      <c r="A81" s="75" t="s">
        <v>140</v>
      </c>
      <c r="B81" s="82">
        <v>6900</v>
      </c>
      <c r="C81" s="82">
        <v>18</v>
      </c>
      <c r="D81" s="82">
        <v>1</v>
      </c>
      <c r="E81" s="16">
        <v>124200</v>
      </c>
    </row>
    <row r="82" spans="1:5" x14ac:dyDescent="0.25">
      <c r="A82" s="75" t="s">
        <v>144</v>
      </c>
      <c r="B82" s="82">
        <v>4000</v>
      </c>
      <c r="C82" s="82">
        <v>18</v>
      </c>
      <c r="D82" s="82">
        <v>1</v>
      </c>
      <c r="E82" s="16">
        <v>72000</v>
      </c>
    </row>
    <row r="83" spans="1:5" x14ac:dyDescent="0.25">
      <c r="A83" s="74" t="s">
        <v>123</v>
      </c>
      <c r="B83" s="82">
        <v>0</v>
      </c>
      <c r="C83" s="82">
        <v>1</v>
      </c>
      <c r="D83" s="82">
        <v>1</v>
      </c>
      <c r="E83" s="16">
        <v>0</v>
      </c>
    </row>
    <row r="84" spans="1:5" x14ac:dyDescent="0.25">
      <c r="A84" s="75" t="s">
        <v>24</v>
      </c>
      <c r="B84" s="82">
        <v>0</v>
      </c>
      <c r="C84" s="82">
        <v>1</v>
      </c>
      <c r="D84" s="82">
        <v>1</v>
      </c>
      <c r="E84" s="16">
        <v>0</v>
      </c>
    </row>
    <row r="85" spans="1:5" x14ac:dyDescent="0.25">
      <c r="A85" s="74" t="s">
        <v>109</v>
      </c>
      <c r="B85" s="82">
        <v>2385</v>
      </c>
      <c r="C85" s="82">
        <v>2</v>
      </c>
      <c r="D85" s="82">
        <v>0</v>
      </c>
      <c r="E85" s="16">
        <v>0</v>
      </c>
    </row>
    <row r="86" spans="1:5" x14ac:dyDescent="0.25">
      <c r="A86" s="75" t="s">
        <v>131</v>
      </c>
      <c r="B86" s="82">
        <v>2035</v>
      </c>
      <c r="C86" s="82">
        <v>1</v>
      </c>
      <c r="D86" s="82">
        <v>0</v>
      </c>
      <c r="E86" s="16">
        <v>0</v>
      </c>
    </row>
    <row r="87" spans="1:5" x14ac:dyDescent="0.25">
      <c r="A87" s="75" t="s">
        <v>132</v>
      </c>
      <c r="B87" s="82">
        <v>350</v>
      </c>
      <c r="C87" s="82">
        <v>1</v>
      </c>
      <c r="D87" s="82">
        <v>0</v>
      </c>
      <c r="E87" s="16">
        <v>0</v>
      </c>
    </row>
    <row r="88" spans="1:5" x14ac:dyDescent="0.25">
      <c r="A88" s="74" t="s">
        <v>110</v>
      </c>
      <c r="B88" s="82">
        <v>14000</v>
      </c>
      <c r="C88" s="82">
        <v>2</v>
      </c>
      <c r="D88" s="82">
        <v>0</v>
      </c>
      <c r="E88" s="16">
        <v>0</v>
      </c>
    </row>
    <row r="89" spans="1:5" x14ac:dyDescent="0.25">
      <c r="A89" s="75" t="s">
        <v>95</v>
      </c>
      <c r="B89" s="82">
        <v>10000</v>
      </c>
      <c r="C89" s="82">
        <v>1</v>
      </c>
      <c r="D89" s="82">
        <v>0</v>
      </c>
      <c r="E89" s="16">
        <v>0</v>
      </c>
    </row>
    <row r="90" spans="1:5" x14ac:dyDescent="0.25">
      <c r="A90" s="75" t="s">
        <v>97</v>
      </c>
      <c r="B90" s="82">
        <v>4000</v>
      </c>
      <c r="C90" s="82">
        <v>1</v>
      </c>
      <c r="D90" s="82">
        <v>0</v>
      </c>
      <c r="E90" s="16">
        <v>0</v>
      </c>
    </row>
    <row r="91" spans="1:5" x14ac:dyDescent="0.25">
      <c r="A91" s="74" t="s">
        <v>124</v>
      </c>
      <c r="B91" s="82">
        <v>13590.5</v>
      </c>
      <c r="C91" s="82">
        <v>1</v>
      </c>
      <c r="D91" s="82">
        <v>0</v>
      </c>
      <c r="E91" s="16">
        <v>0</v>
      </c>
    </row>
    <row r="92" spans="1:5" x14ac:dyDescent="0.25">
      <c r="A92" s="75" t="s">
        <v>174</v>
      </c>
      <c r="B92" s="82">
        <v>13590.5</v>
      </c>
      <c r="C92" s="82">
        <v>1</v>
      </c>
      <c r="D92" s="82">
        <v>0</v>
      </c>
      <c r="E92" s="16">
        <v>0</v>
      </c>
    </row>
    <row r="93" spans="1:5" x14ac:dyDescent="0.25">
      <c r="A93" s="6" t="s">
        <v>163</v>
      </c>
      <c r="B93" s="82">
        <v>2147014.5</v>
      </c>
      <c r="C93" s="82">
        <v>333</v>
      </c>
      <c r="D93" s="82">
        <v>53</v>
      </c>
      <c r="E93" s="16">
        <v>2912000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DD957-E87C-4F9F-8D42-312407B79E2A}">
  <dimension ref="A3:E73"/>
  <sheetViews>
    <sheetView topLeftCell="A28" workbookViewId="0">
      <selection activeCell="B26" sqref="B26"/>
    </sheetView>
  </sheetViews>
  <sheetFormatPr defaultRowHeight="15" x14ac:dyDescent="0.25"/>
  <cols>
    <col min="1" max="1" width="71.5703125" bestFit="1" customWidth="1"/>
    <col min="2" max="2" width="21.7109375" style="1" bestFit="1" customWidth="1"/>
    <col min="3" max="3" width="19.85546875" bestFit="1" customWidth="1"/>
    <col min="4" max="4" width="13.7109375" bestFit="1" customWidth="1"/>
    <col min="5" max="5" width="16" bestFit="1" customWidth="1"/>
    <col min="6" max="6" width="22.5703125" bestFit="1" customWidth="1"/>
    <col min="7" max="9" width="26.140625" bestFit="1" customWidth="1"/>
    <col min="10" max="14" width="4" bestFit="1" customWidth="1"/>
    <col min="15" max="15" width="6" bestFit="1" customWidth="1"/>
    <col min="16" max="27" width="5" bestFit="1" customWidth="1"/>
    <col min="28" max="32" width="6" bestFit="1" customWidth="1"/>
    <col min="33" max="33" width="7" bestFit="1" customWidth="1"/>
    <col min="34" max="34" width="8" bestFit="1" customWidth="1"/>
    <col min="35" max="35" width="7" bestFit="1" customWidth="1"/>
    <col min="36" max="36" width="10.7109375" bestFit="1" customWidth="1"/>
    <col min="37" max="37" width="11.85546875" bestFit="1" customWidth="1"/>
    <col min="38" max="38" width="13.85546875" bestFit="1" customWidth="1"/>
    <col min="39" max="39" width="9.85546875" bestFit="1" customWidth="1"/>
    <col min="40" max="40" width="12.85546875" bestFit="1" customWidth="1"/>
    <col min="41" max="41" width="11.28515625" bestFit="1" customWidth="1"/>
    <col min="42" max="42" width="14.42578125" bestFit="1" customWidth="1"/>
    <col min="43" max="43" width="10.140625" bestFit="1" customWidth="1"/>
    <col min="44" max="44" width="13.28515625" bestFit="1" customWidth="1"/>
    <col min="45" max="45" width="14.85546875" bestFit="1" customWidth="1"/>
    <col min="46" max="46" width="15" bestFit="1" customWidth="1"/>
    <col min="47" max="47" width="13.85546875" bestFit="1" customWidth="1"/>
    <col min="48" max="49" width="13.140625" bestFit="1" customWidth="1"/>
    <col min="50" max="50" width="12.42578125" bestFit="1" customWidth="1"/>
    <col min="51" max="51" width="15.5703125" bestFit="1" customWidth="1"/>
    <col min="52" max="52" width="10" bestFit="1" customWidth="1"/>
    <col min="53" max="53" width="13.140625" bestFit="1" customWidth="1"/>
    <col min="54" max="54" width="14.85546875" bestFit="1" customWidth="1"/>
    <col min="55" max="55" width="11.28515625" bestFit="1" customWidth="1"/>
    <col min="56" max="56" width="14.42578125" bestFit="1" customWidth="1"/>
    <col min="57" max="57" width="11.85546875" bestFit="1" customWidth="1"/>
    <col min="58" max="58" width="17" bestFit="1" customWidth="1"/>
    <col min="59" max="59" width="10" bestFit="1" customWidth="1"/>
    <col min="60" max="61" width="13.140625" bestFit="1" customWidth="1"/>
    <col min="62" max="62" width="12.5703125" bestFit="1" customWidth="1"/>
    <col min="63" max="63" width="8.85546875" bestFit="1" customWidth="1"/>
    <col min="64" max="66" width="11.85546875" bestFit="1" customWidth="1"/>
    <col min="67" max="67" width="10.7109375" bestFit="1" customWidth="1"/>
    <col min="68" max="77" width="14.42578125" bestFit="1" customWidth="1"/>
    <col min="78" max="78" width="14.85546875" bestFit="1" customWidth="1"/>
    <col min="79" max="79" width="13.42578125" bestFit="1" customWidth="1"/>
    <col min="80" max="80" width="14.42578125" bestFit="1" customWidth="1"/>
    <col min="81" max="81" width="13.42578125" bestFit="1" customWidth="1"/>
    <col min="82" max="85" width="14.42578125" bestFit="1" customWidth="1"/>
    <col min="86" max="86" width="12.42578125" bestFit="1" customWidth="1"/>
    <col min="87" max="87" width="15.5703125" bestFit="1" customWidth="1"/>
    <col min="88" max="88" width="12.28515625" bestFit="1" customWidth="1"/>
    <col min="89" max="89" width="14.42578125" bestFit="1" customWidth="1"/>
    <col min="90" max="90" width="14.85546875" bestFit="1" customWidth="1"/>
    <col min="91" max="91" width="14.7109375" bestFit="1" customWidth="1"/>
    <col min="92" max="92" width="12.28515625" bestFit="1" customWidth="1"/>
    <col min="93" max="93" width="13.85546875" bestFit="1" customWidth="1"/>
    <col min="94" max="94" width="12.28515625" bestFit="1" customWidth="1"/>
    <col min="95" max="95" width="12.85546875" bestFit="1" customWidth="1"/>
    <col min="96" max="96" width="12.28515625" bestFit="1" customWidth="1"/>
    <col min="97" max="97" width="14.42578125" bestFit="1" customWidth="1"/>
    <col min="98" max="98" width="12.28515625" bestFit="1" customWidth="1"/>
    <col min="99" max="99" width="13.28515625" bestFit="1" customWidth="1"/>
    <col min="100" max="100" width="14.85546875" bestFit="1" customWidth="1"/>
    <col min="101" max="101" width="12.28515625" bestFit="1" customWidth="1"/>
    <col min="102" max="102" width="13.42578125" bestFit="1" customWidth="1"/>
    <col min="103" max="103" width="13.85546875" bestFit="1" customWidth="1"/>
    <col min="104" max="106" width="13.42578125" bestFit="1" customWidth="1"/>
    <col min="107" max="107" width="14.42578125" bestFit="1" customWidth="1"/>
    <col min="108" max="109" width="13.42578125" bestFit="1" customWidth="1"/>
    <col min="110" max="110" width="14.85546875" bestFit="1" customWidth="1"/>
    <col min="111" max="111" width="15" bestFit="1" customWidth="1"/>
    <col min="112" max="114" width="16" bestFit="1" customWidth="1"/>
    <col min="115" max="115" width="12.42578125" bestFit="1" customWidth="1"/>
    <col min="116" max="116" width="15.5703125" bestFit="1" customWidth="1"/>
    <col min="117" max="118" width="13.42578125" bestFit="1" customWidth="1"/>
    <col min="119" max="119" width="14.85546875" bestFit="1" customWidth="1"/>
    <col min="120" max="120" width="13.42578125" bestFit="1" customWidth="1"/>
    <col min="121" max="121" width="14.42578125" bestFit="1" customWidth="1"/>
    <col min="122" max="122" width="13.42578125" bestFit="1" customWidth="1"/>
    <col min="123" max="123" width="17" bestFit="1" customWidth="1"/>
    <col min="124" max="127" width="14.42578125" bestFit="1" customWidth="1"/>
    <col min="128" max="128" width="8.85546875" bestFit="1" customWidth="1"/>
    <col min="129" max="131" width="11.85546875" bestFit="1" customWidth="1"/>
    <col min="132" max="133" width="18.7109375" bestFit="1" customWidth="1"/>
    <col min="134" max="142" width="14.42578125" bestFit="1" customWidth="1"/>
    <col min="143" max="143" width="14.85546875" bestFit="1" customWidth="1"/>
    <col min="144" max="144" width="13.42578125" bestFit="1" customWidth="1"/>
    <col min="145" max="145" width="14.42578125" bestFit="1" customWidth="1"/>
    <col min="146" max="146" width="13.42578125" bestFit="1" customWidth="1"/>
    <col min="147" max="150" width="14.42578125" bestFit="1" customWidth="1"/>
    <col min="151" max="151" width="12.42578125" bestFit="1" customWidth="1"/>
    <col min="152" max="152" width="15.5703125" bestFit="1" customWidth="1"/>
    <col min="153" max="153" width="12.28515625" bestFit="1" customWidth="1"/>
    <col min="154" max="154" width="14.42578125" bestFit="1" customWidth="1"/>
    <col min="155" max="155" width="14.85546875" bestFit="1" customWidth="1"/>
    <col min="156" max="156" width="14.7109375" bestFit="1" customWidth="1"/>
    <col min="157" max="157" width="12.28515625" bestFit="1" customWidth="1"/>
    <col min="158" max="158" width="13.85546875" bestFit="1" customWidth="1"/>
    <col min="159" max="159" width="12.28515625" bestFit="1" customWidth="1"/>
    <col min="160" max="160" width="12.85546875" bestFit="1" customWidth="1"/>
    <col min="161" max="161" width="12.28515625" bestFit="1" customWidth="1"/>
    <col min="162" max="162" width="14.42578125" bestFit="1" customWidth="1"/>
    <col min="163" max="163" width="12.28515625" bestFit="1" customWidth="1"/>
    <col min="164" max="164" width="13.28515625" bestFit="1" customWidth="1"/>
    <col min="165" max="165" width="14.85546875" bestFit="1" customWidth="1"/>
    <col min="166" max="166" width="12.28515625" bestFit="1" customWidth="1"/>
    <col min="167" max="167" width="13.42578125" bestFit="1" customWidth="1"/>
    <col min="168" max="168" width="13.85546875" bestFit="1" customWidth="1"/>
    <col min="169" max="171" width="13.42578125" bestFit="1" customWidth="1"/>
    <col min="172" max="172" width="14.42578125" bestFit="1" customWidth="1"/>
    <col min="173" max="174" width="13.42578125" bestFit="1" customWidth="1"/>
    <col min="175" max="175" width="14.85546875" bestFit="1" customWidth="1"/>
    <col min="176" max="176" width="15" bestFit="1" customWidth="1"/>
    <col min="177" max="179" width="16" bestFit="1" customWidth="1"/>
    <col min="180" max="180" width="12.42578125" bestFit="1" customWidth="1"/>
    <col min="181" max="181" width="15.5703125" bestFit="1" customWidth="1"/>
    <col min="182" max="183" width="13.42578125" bestFit="1" customWidth="1"/>
    <col min="184" max="184" width="14.85546875" bestFit="1" customWidth="1"/>
    <col min="185" max="185" width="13.42578125" bestFit="1" customWidth="1"/>
    <col min="186" max="186" width="14.42578125" bestFit="1" customWidth="1"/>
    <col min="187" max="187" width="13.42578125" bestFit="1" customWidth="1"/>
    <col min="188" max="188" width="17" bestFit="1" customWidth="1"/>
    <col min="189" max="192" width="14.42578125" bestFit="1" customWidth="1"/>
    <col min="193" max="193" width="8.85546875" bestFit="1" customWidth="1"/>
    <col min="194" max="196" width="11.85546875" bestFit="1" customWidth="1"/>
    <col min="197" max="197" width="24.85546875" bestFit="1" customWidth="1"/>
    <col min="198" max="199" width="18.7109375" bestFit="1" customWidth="1"/>
    <col min="200" max="207" width="14.42578125" bestFit="1" customWidth="1"/>
    <col min="208" max="208" width="14.85546875" bestFit="1" customWidth="1"/>
    <col min="209" max="209" width="13.42578125" bestFit="1" customWidth="1"/>
    <col min="210" max="210" width="14.42578125" bestFit="1" customWidth="1"/>
    <col min="211" max="211" width="13.42578125" bestFit="1" customWidth="1"/>
    <col min="212" max="215" width="14.42578125" bestFit="1" customWidth="1"/>
    <col min="216" max="216" width="12.42578125" bestFit="1" customWidth="1"/>
    <col min="217" max="217" width="15.5703125" bestFit="1" customWidth="1"/>
    <col min="218" max="218" width="12.28515625" bestFit="1" customWidth="1"/>
    <col min="219" max="219" width="14.42578125" bestFit="1" customWidth="1"/>
    <col min="220" max="220" width="14.85546875" bestFit="1" customWidth="1"/>
    <col min="221" max="221" width="14.7109375" bestFit="1" customWidth="1"/>
    <col min="222" max="222" width="12.28515625" bestFit="1" customWidth="1"/>
    <col min="223" max="223" width="13.85546875" bestFit="1" customWidth="1"/>
    <col min="224" max="224" width="12.28515625" bestFit="1" customWidth="1"/>
    <col min="225" max="225" width="12.85546875" bestFit="1" customWidth="1"/>
    <col min="226" max="226" width="12.28515625" bestFit="1" customWidth="1"/>
    <col min="227" max="227" width="14.42578125" bestFit="1" customWidth="1"/>
    <col min="228" max="228" width="12.28515625" bestFit="1" customWidth="1"/>
    <col min="229" max="229" width="13.28515625" bestFit="1" customWidth="1"/>
    <col min="230" max="230" width="14.85546875" bestFit="1" customWidth="1"/>
    <col min="231" max="231" width="12.28515625" bestFit="1" customWidth="1"/>
    <col min="232" max="232" width="13.42578125" bestFit="1" customWidth="1"/>
    <col min="233" max="233" width="13.85546875" bestFit="1" customWidth="1"/>
    <col min="234" max="236" width="13.42578125" bestFit="1" customWidth="1"/>
    <col min="237" max="237" width="14.42578125" bestFit="1" customWidth="1"/>
    <col min="238" max="239" width="13.42578125" bestFit="1" customWidth="1"/>
    <col min="240" max="240" width="14.85546875" bestFit="1" customWidth="1"/>
    <col min="241" max="241" width="15" bestFit="1" customWidth="1"/>
    <col min="242" max="244" width="16" bestFit="1" customWidth="1"/>
    <col min="245" max="245" width="12.42578125" bestFit="1" customWidth="1"/>
    <col min="246" max="246" width="15.5703125" bestFit="1" customWidth="1"/>
    <col min="247" max="248" width="13.42578125" bestFit="1" customWidth="1"/>
    <col min="249" max="249" width="14.85546875" bestFit="1" customWidth="1"/>
    <col min="250" max="250" width="13.42578125" bestFit="1" customWidth="1"/>
    <col min="251" max="251" width="14.42578125" bestFit="1" customWidth="1"/>
    <col min="252" max="252" width="13.42578125" bestFit="1" customWidth="1"/>
    <col min="253" max="253" width="17" bestFit="1" customWidth="1"/>
    <col min="254" max="257" width="14.42578125" bestFit="1" customWidth="1"/>
    <col min="258" max="258" width="8.85546875" bestFit="1" customWidth="1"/>
    <col min="259" max="261" width="11.85546875" bestFit="1" customWidth="1"/>
    <col min="262" max="262" width="26.7109375" bestFit="1" customWidth="1"/>
    <col min="263" max="263" width="24.85546875" bestFit="1" customWidth="1"/>
    <col min="264" max="265" width="18.7109375" bestFit="1" customWidth="1"/>
    <col min="266" max="266" width="21.7109375" bestFit="1" customWidth="1"/>
    <col min="267" max="267" width="19.85546875" bestFit="1" customWidth="1"/>
    <col min="268" max="268" width="13.7109375" bestFit="1" customWidth="1"/>
    <col min="269" max="269" width="16" bestFit="1" customWidth="1"/>
    <col min="270" max="270" width="35" bestFit="1" customWidth="1"/>
    <col min="271" max="271" width="33.140625" bestFit="1" customWidth="1"/>
    <col min="272" max="273" width="27" bestFit="1" customWidth="1"/>
    <col min="274" max="274" width="21.7109375" bestFit="1" customWidth="1"/>
    <col min="275" max="275" width="19.85546875" bestFit="1" customWidth="1"/>
    <col min="276" max="277" width="13.7109375" bestFit="1" customWidth="1"/>
    <col min="278" max="278" width="29.140625" bestFit="1" customWidth="1"/>
    <col min="279" max="279" width="27.42578125" bestFit="1" customWidth="1"/>
    <col min="280" max="281" width="21.140625" bestFit="1" customWidth="1"/>
    <col min="282" max="282" width="21.7109375" bestFit="1" customWidth="1"/>
    <col min="283" max="283" width="19.85546875" bestFit="1" customWidth="1"/>
    <col min="284" max="285" width="13.7109375" bestFit="1" customWidth="1"/>
    <col min="286" max="286" width="37.5703125" bestFit="1" customWidth="1"/>
    <col min="287" max="287" width="35.85546875" bestFit="1" customWidth="1"/>
    <col min="288" max="289" width="29.7109375" bestFit="1" customWidth="1"/>
    <col min="290" max="290" width="21.7109375" bestFit="1" customWidth="1"/>
    <col min="291" max="291" width="19.85546875" bestFit="1" customWidth="1"/>
    <col min="292" max="293" width="13.7109375" bestFit="1" customWidth="1"/>
    <col min="294" max="294" width="32.28515625" bestFit="1" customWidth="1"/>
    <col min="295" max="295" width="30.5703125" bestFit="1" customWidth="1"/>
    <col min="296" max="297" width="24.28515625" bestFit="1" customWidth="1"/>
    <col min="298" max="298" width="21.7109375" bestFit="1" customWidth="1"/>
    <col min="299" max="299" width="19.85546875" bestFit="1" customWidth="1"/>
    <col min="300" max="301" width="13.7109375" bestFit="1" customWidth="1"/>
    <col min="302" max="302" width="36.7109375" bestFit="1" customWidth="1"/>
    <col min="303" max="303" width="35" bestFit="1" customWidth="1"/>
    <col min="304" max="305" width="28.7109375" bestFit="1" customWidth="1"/>
    <col min="306" max="306" width="21.7109375" bestFit="1" customWidth="1"/>
    <col min="307" max="307" width="19.85546875" bestFit="1" customWidth="1"/>
    <col min="308" max="309" width="13.7109375" bestFit="1" customWidth="1"/>
    <col min="310" max="310" width="27" bestFit="1" customWidth="1"/>
    <col min="311" max="311" width="25.140625" bestFit="1" customWidth="1"/>
    <col min="312" max="313" width="19" bestFit="1" customWidth="1"/>
    <col min="314" max="314" width="59.7109375" bestFit="1" customWidth="1"/>
    <col min="315" max="315" width="19.85546875" bestFit="1" customWidth="1"/>
    <col min="316" max="316" width="13.7109375" bestFit="1" customWidth="1"/>
    <col min="317" max="317" width="14.42578125" bestFit="1" customWidth="1"/>
    <col min="318" max="318" width="79.42578125" bestFit="1" customWidth="1"/>
    <col min="319" max="319" width="77.5703125" bestFit="1" customWidth="1"/>
    <col min="320" max="321" width="71.42578125" bestFit="1" customWidth="1"/>
    <col min="322" max="322" width="42.5703125" bestFit="1" customWidth="1"/>
    <col min="323" max="323" width="19.85546875" bestFit="1" customWidth="1"/>
    <col min="324" max="325" width="13.7109375" bestFit="1" customWidth="1"/>
    <col min="326" max="326" width="62.140625" bestFit="1" customWidth="1"/>
    <col min="327" max="327" width="60.42578125" bestFit="1" customWidth="1"/>
    <col min="328" max="329" width="54.140625" bestFit="1" customWidth="1"/>
    <col min="330" max="330" width="37.28515625" bestFit="1" customWidth="1"/>
    <col min="331" max="331" width="19.85546875" bestFit="1" customWidth="1"/>
    <col min="332" max="333" width="13.7109375" bestFit="1" customWidth="1"/>
    <col min="334" max="334" width="56.85546875" bestFit="1" customWidth="1"/>
    <col min="335" max="335" width="55.140625" bestFit="1" customWidth="1"/>
    <col min="336" max="337" width="48.85546875" bestFit="1" customWidth="1"/>
    <col min="338" max="338" width="37.5703125" bestFit="1" customWidth="1"/>
    <col min="339" max="339" width="19.85546875" bestFit="1" customWidth="1"/>
    <col min="340" max="341" width="13.7109375" bestFit="1" customWidth="1"/>
    <col min="342" max="342" width="57.140625" bestFit="1" customWidth="1"/>
    <col min="343" max="343" width="55.42578125" bestFit="1" customWidth="1"/>
    <col min="344" max="345" width="49.140625" bestFit="1" customWidth="1"/>
    <col min="346" max="346" width="37.5703125" bestFit="1" customWidth="1"/>
    <col min="347" max="347" width="19.85546875" bestFit="1" customWidth="1"/>
    <col min="348" max="349" width="13.7109375" bestFit="1" customWidth="1"/>
    <col min="350" max="350" width="57.140625" bestFit="1" customWidth="1"/>
    <col min="351" max="351" width="55.42578125" bestFit="1" customWidth="1"/>
    <col min="352" max="353" width="49.140625" bestFit="1" customWidth="1"/>
    <col min="354" max="354" width="37.42578125" bestFit="1" customWidth="1"/>
    <col min="355" max="355" width="19.85546875" bestFit="1" customWidth="1"/>
    <col min="356" max="357" width="13.7109375" bestFit="1" customWidth="1"/>
    <col min="358" max="358" width="57" bestFit="1" customWidth="1"/>
    <col min="359" max="359" width="55.28515625" bestFit="1" customWidth="1"/>
    <col min="360" max="361" width="49" bestFit="1" customWidth="1"/>
    <col min="362" max="362" width="32.85546875" bestFit="1" customWidth="1"/>
    <col min="363" max="363" width="19.85546875" bestFit="1" customWidth="1"/>
    <col min="364" max="365" width="13.7109375" bestFit="1" customWidth="1"/>
    <col min="366" max="366" width="52.42578125" bestFit="1" customWidth="1"/>
    <col min="367" max="367" width="50.7109375" bestFit="1" customWidth="1"/>
    <col min="368" max="369" width="44.42578125" bestFit="1" customWidth="1"/>
    <col min="370" max="370" width="33.140625" bestFit="1" customWidth="1"/>
    <col min="371" max="371" width="19.85546875" bestFit="1" customWidth="1"/>
    <col min="372" max="373" width="13.7109375" bestFit="1" customWidth="1"/>
    <col min="374" max="374" width="52.7109375" bestFit="1" customWidth="1"/>
    <col min="375" max="375" width="51" bestFit="1" customWidth="1"/>
    <col min="376" max="377" width="44.7109375" bestFit="1" customWidth="1"/>
    <col min="378" max="378" width="33.140625" bestFit="1" customWidth="1"/>
    <col min="379" max="379" width="19.85546875" bestFit="1" customWidth="1"/>
    <col min="380" max="381" width="13.7109375" bestFit="1" customWidth="1"/>
    <col min="382" max="382" width="52.7109375" bestFit="1" customWidth="1"/>
    <col min="383" max="383" width="51" bestFit="1" customWidth="1"/>
    <col min="384" max="385" width="44.7109375" bestFit="1" customWidth="1"/>
    <col min="386" max="386" width="33" bestFit="1" customWidth="1"/>
    <col min="387" max="387" width="19.85546875" bestFit="1" customWidth="1"/>
    <col min="388" max="389" width="13.7109375" bestFit="1" customWidth="1"/>
    <col min="390" max="390" width="52.5703125" bestFit="1" customWidth="1"/>
    <col min="391" max="391" width="50.85546875" bestFit="1" customWidth="1"/>
    <col min="392" max="393" width="44.5703125" bestFit="1" customWidth="1"/>
    <col min="394" max="394" width="21.7109375" bestFit="1" customWidth="1"/>
    <col min="395" max="395" width="19.85546875" bestFit="1" customWidth="1"/>
    <col min="396" max="397" width="13.7109375" bestFit="1" customWidth="1"/>
    <col min="398" max="398" width="31.5703125" bestFit="1" customWidth="1"/>
    <col min="399" max="399" width="29.85546875" bestFit="1" customWidth="1"/>
    <col min="400" max="401" width="23.5703125" bestFit="1" customWidth="1"/>
    <col min="402" max="402" width="28" bestFit="1" customWidth="1"/>
    <col min="403" max="403" width="12" bestFit="1" customWidth="1"/>
    <col min="404" max="404" width="19.85546875" bestFit="1" customWidth="1"/>
    <col min="405" max="405" width="12" bestFit="1" customWidth="1"/>
    <col min="406" max="406" width="13.7109375" bestFit="1" customWidth="1"/>
    <col min="407" max="407" width="12" bestFit="1" customWidth="1"/>
    <col min="408" max="409" width="14.42578125" bestFit="1" customWidth="1"/>
    <col min="410" max="410" width="47.5703125" bestFit="1" customWidth="1"/>
    <col min="411" max="411" width="45.7109375" bestFit="1" customWidth="1"/>
    <col min="412" max="413" width="39.5703125" bestFit="1" customWidth="1"/>
    <col min="414" max="414" width="21.7109375" bestFit="1" customWidth="1"/>
    <col min="415" max="415" width="19.85546875" bestFit="1" customWidth="1"/>
    <col min="416" max="417" width="13.7109375" bestFit="1" customWidth="1"/>
    <col min="418" max="418" width="37.28515625" bestFit="1" customWidth="1"/>
    <col min="419" max="419" width="35.5703125" bestFit="1" customWidth="1"/>
    <col min="420" max="421" width="29.28515625" bestFit="1" customWidth="1"/>
    <col min="422" max="422" width="54.7109375" bestFit="1" customWidth="1"/>
    <col min="423" max="423" width="19.85546875" bestFit="1" customWidth="1"/>
    <col min="424" max="425" width="13.7109375" bestFit="1" customWidth="1"/>
    <col min="426" max="426" width="74.28515625" bestFit="1" customWidth="1"/>
    <col min="427" max="427" width="72.5703125" bestFit="1" customWidth="1"/>
    <col min="428" max="429" width="66.28515625" bestFit="1" customWidth="1"/>
    <col min="430" max="430" width="52.42578125" bestFit="1" customWidth="1"/>
    <col min="431" max="431" width="19.85546875" bestFit="1" customWidth="1"/>
    <col min="432" max="433" width="13.7109375" bestFit="1" customWidth="1"/>
    <col min="434" max="434" width="72" bestFit="1" customWidth="1"/>
    <col min="435" max="435" width="70.140625" bestFit="1" customWidth="1"/>
    <col min="436" max="437" width="64" bestFit="1" customWidth="1"/>
    <col min="438" max="438" width="45.7109375" bestFit="1" customWidth="1"/>
    <col min="439" max="439" width="19.85546875" bestFit="1" customWidth="1"/>
    <col min="440" max="441" width="13.7109375" bestFit="1" customWidth="1"/>
    <col min="442" max="442" width="65.28515625" bestFit="1" customWidth="1"/>
    <col min="443" max="443" width="63.5703125" bestFit="1" customWidth="1"/>
    <col min="444" max="445" width="57.28515625" bestFit="1" customWidth="1"/>
    <col min="446" max="446" width="39.85546875" bestFit="1" customWidth="1"/>
    <col min="447" max="447" width="19.85546875" bestFit="1" customWidth="1"/>
    <col min="448" max="448" width="13.7109375" bestFit="1" customWidth="1"/>
    <col min="449" max="449" width="14.42578125" bestFit="1" customWidth="1"/>
    <col min="450" max="450" width="59.42578125" bestFit="1" customWidth="1"/>
    <col min="451" max="451" width="57.5703125" bestFit="1" customWidth="1"/>
    <col min="452" max="453" width="51.42578125" bestFit="1" customWidth="1"/>
    <col min="454" max="454" width="21.7109375" bestFit="1" customWidth="1"/>
    <col min="455" max="455" width="19.85546875" bestFit="1" customWidth="1"/>
    <col min="456" max="457" width="13.7109375" bestFit="1" customWidth="1"/>
    <col min="458" max="458" width="38.42578125" bestFit="1" customWidth="1"/>
    <col min="459" max="459" width="36.5703125" bestFit="1" customWidth="1"/>
    <col min="460" max="461" width="30.42578125" bestFit="1" customWidth="1"/>
    <col min="462" max="462" width="21.7109375" bestFit="1" customWidth="1"/>
    <col min="463" max="463" width="19.85546875" bestFit="1" customWidth="1"/>
    <col min="464" max="465" width="13.7109375" bestFit="1" customWidth="1"/>
    <col min="466" max="466" width="35.7109375" bestFit="1" customWidth="1"/>
    <col min="467" max="467" width="34" bestFit="1" customWidth="1"/>
    <col min="468" max="469" width="27.7109375" bestFit="1" customWidth="1"/>
    <col min="470" max="470" width="21.7109375" bestFit="1" customWidth="1"/>
    <col min="471" max="471" width="19.85546875" bestFit="1" customWidth="1"/>
    <col min="472" max="473" width="13.7109375" bestFit="1" customWidth="1"/>
    <col min="474" max="474" width="36.7109375" bestFit="1" customWidth="1"/>
    <col min="475" max="475" width="35" bestFit="1" customWidth="1"/>
    <col min="476" max="477" width="28.7109375" bestFit="1" customWidth="1"/>
    <col min="478" max="478" width="21.7109375" bestFit="1" customWidth="1"/>
    <col min="479" max="479" width="19.85546875" bestFit="1" customWidth="1"/>
    <col min="480" max="481" width="13.7109375" bestFit="1" customWidth="1"/>
    <col min="482" max="482" width="28.28515625" bestFit="1" customWidth="1"/>
    <col min="483" max="483" width="26.5703125" bestFit="1" customWidth="1"/>
    <col min="484" max="485" width="20.28515625" bestFit="1" customWidth="1"/>
    <col min="486" max="486" width="26.7109375" bestFit="1" customWidth="1"/>
    <col min="487" max="487" width="24.85546875" bestFit="1" customWidth="1"/>
    <col min="488" max="489" width="18.7109375" bestFit="1" customWidth="1"/>
  </cols>
  <sheetData>
    <row r="3" spans="1:5" x14ac:dyDescent="0.25">
      <c r="A3" s="73" t="s">
        <v>162</v>
      </c>
      <c r="B3" t="s">
        <v>164</v>
      </c>
      <c r="C3" t="s">
        <v>165</v>
      </c>
      <c r="D3" t="s">
        <v>166</v>
      </c>
      <c r="E3" t="s">
        <v>167</v>
      </c>
    </row>
    <row r="4" spans="1:5" x14ac:dyDescent="0.25">
      <c r="A4" s="6" t="s">
        <v>108</v>
      </c>
      <c r="B4" s="82">
        <v>61500</v>
      </c>
      <c r="C4" s="82">
        <v>252</v>
      </c>
      <c r="D4" s="82">
        <v>13</v>
      </c>
      <c r="E4" s="16">
        <v>990000</v>
      </c>
    </row>
    <row r="5" spans="1:5" x14ac:dyDescent="0.25">
      <c r="A5" s="74" t="s">
        <v>143</v>
      </c>
      <c r="B5" s="82">
        <v>6900</v>
      </c>
      <c r="C5" s="82">
        <v>18</v>
      </c>
      <c r="D5" s="82">
        <v>1</v>
      </c>
      <c r="E5" s="16">
        <v>124200</v>
      </c>
    </row>
    <row r="6" spans="1:5" x14ac:dyDescent="0.25">
      <c r="A6" s="74" t="s">
        <v>142</v>
      </c>
      <c r="B6" s="82">
        <v>6900</v>
      </c>
      <c r="C6" s="82">
        <v>18</v>
      </c>
      <c r="D6" s="82">
        <v>1</v>
      </c>
      <c r="E6" s="16">
        <v>124200</v>
      </c>
    </row>
    <row r="7" spans="1:5" x14ac:dyDescent="0.25">
      <c r="A7" s="74" t="s">
        <v>141</v>
      </c>
      <c r="B7" s="82">
        <v>6900</v>
      </c>
      <c r="C7" s="82">
        <v>18</v>
      </c>
      <c r="D7" s="82">
        <v>1</v>
      </c>
      <c r="E7" s="16">
        <v>124200</v>
      </c>
    </row>
    <row r="8" spans="1:5" x14ac:dyDescent="0.25">
      <c r="A8" s="74" t="s">
        <v>140</v>
      </c>
      <c r="B8" s="82">
        <v>6900</v>
      </c>
      <c r="C8" s="82">
        <v>18</v>
      </c>
      <c r="D8" s="82">
        <v>1</v>
      </c>
      <c r="E8" s="16">
        <v>124200</v>
      </c>
    </row>
    <row r="9" spans="1:5" x14ac:dyDescent="0.25">
      <c r="A9" s="74" t="s">
        <v>147</v>
      </c>
      <c r="B9" s="82">
        <v>4000</v>
      </c>
      <c r="C9" s="82">
        <v>18</v>
      </c>
      <c r="D9" s="82">
        <v>1</v>
      </c>
      <c r="E9" s="16">
        <v>72000</v>
      </c>
    </row>
    <row r="10" spans="1:5" x14ac:dyDescent="0.25">
      <c r="A10" s="74" t="s">
        <v>146</v>
      </c>
      <c r="B10" s="82">
        <v>4000</v>
      </c>
      <c r="C10" s="82">
        <v>18</v>
      </c>
      <c r="D10" s="82">
        <v>1</v>
      </c>
      <c r="E10" s="16">
        <v>72000</v>
      </c>
    </row>
    <row r="11" spans="1:5" x14ac:dyDescent="0.25">
      <c r="A11" s="74" t="s">
        <v>145</v>
      </c>
      <c r="B11" s="82">
        <v>4000</v>
      </c>
      <c r="C11" s="82">
        <v>18</v>
      </c>
      <c r="D11" s="82">
        <v>0</v>
      </c>
      <c r="E11" s="16">
        <v>0</v>
      </c>
    </row>
    <row r="12" spans="1:5" x14ac:dyDescent="0.25">
      <c r="A12" s="74" t="s">
        <v>144</v>
      </c>
      <c r="B12" s="82">
        <v>4000</v>
      </c>
      <c r="C12" s="82">
        <v>18</v>
      </c>
      <c r="D12" s="82">
        <v>1</v>
      </c>
      <c r="E12" s="16">
        <v>72000</v>
      </c>
    </row>
    <row r="13" spans="1:5" x14ac:dyDescent="0.25">
      <c r="A13" s="74" t="s">
        <v>115</v>
      </c>
      <c r="B13" s="82">
        <v>1500</v>
      </c>
      <c r="C13" s="82">
        <v>18</v>
      </c>
      <c r="D13" s="82">
        <v>2</v>
      </c>
      <c r="E13" s="16">
        <v>54000</v>
      </c>
    </row>
    <row r="14" spans="1:5" x14ac:dyDescent="0.25">
      <c r="A14" s="74" t="s">
        <v>114</v>
      </c>
      <c r="B14" s="82">
        <v>3000</v>
      </c>
      <c r="C14" s="82">
        <v>18</v>
      </c>
      <c r="D14" s="82">
        <v>0</v>
      </c>
      <c r="E14" s="16">
        <v>0</v>
      </c>
    </row>
    <row r="15" spans="1:5" x14ac:dyDescent="0.25">
      <c r="A15" s="74" t="s">
        <v>161</v>
      </c>
      <c r="B15" s="82">
        <v>3000</v>
      </c>
      <c r="C15" s="82">
        <v>18</v>
      </c>
      <c r="D15" s="82">
        <v>1</v>
      </c>
      <c r="E15" s="16">
        <v>54000</v>
      </c>
    </row>
    <row r="16" spans="1:5" x14ac:dyDescent="0.25">
      <c r="A16" s="74" t="s">
        <v>113</v>
      </c>
      <c r="B16" s="82">
        <v>7200</v>
      </c>
      <c r="C16" s="82">
        <v>18</v>
      </c>
      <c r="D16" s="82">
        <v>1</v>
      </c>
      <c r="E16" s="16">
        <v>129600</v>
      </c>
    </row>
    <row r="17" spans="1:5" x14ac:dyDescent="0.25">
      <c r="A17" s="74" t="s">
        <v>122</v>
      </c>
      <c r="B17" s="82">
        <v>1100</v>
      </c>
      <c r="C17" s="82">
        <v>18</v>
      </c>
      <c r="D17" s="82">
        <v>2</v>
      </c>
      <c r="E17" s="16">
        <v>39600</v>
      </c>
    </row>
    <row r="18" spans="1:5" x14ac:dyDescent="0.25">
      <c r="A18" s="74" t="s">
        <v>121</v>
      </c>
      <c r="B18" s="82">
        <v>2100</v>
      </c>
      <c r="C18" s="82">
        <v>18</v>
      </c>
      <c r="D18" s="82">
        <v>0</v>
      </c>
      <c r="E18" s="16">
        <v>0</v>
      </c>
    </row>
    <row r="19" spans="1:5" x14ac:dyDescent="0.25">
      <c r="A19" s="6" t="s">
        <v>123</v>
      </c>
      <c r="B19" s="82">
        <v>115803</v>
      </c>
      <c r="C19" s="82">
        <v>46</v>
      </c>
      <c r="D19" s="82">
        <v>4</v>
      </c>
      <c r="E19" s="16">
        <v>100000</v>
      </c>
    </row>
    <row r="20" spans="1:5" x14ac:dyDescent="0.25">
      <c r="A20" s="74" t="s">
        <v>103</v>
      </c>
      <c r="B20" s="82">
        <v>0</v>
      </c>
      <c r="C20" s="82">
        <v>3</v>
      </c>
      <c r="D20" s="82">
        <v>2</v>
      </c>
      <c r="E20" s="16">
        <v>0</v>
      </c>
    </row>
    <row r="21" spans="1:5" x14ac:dyDescent="0.25">
      <c r="A21" s="74" t="s">
        <v>24</v>
      </c>
      <c r="B21" s="82">
        <v>0</v>
      </c>
      <c r="C21" s="82">
        <v>1</v>
      </c>
      <c r="D21" s="82">
        <v>1</v>
      </c>
      <c r="E21" s="16">
        <v>0</v>
      </c>
    </row>
    <row r="22" spans="1:5" x14ac:dyDescent="0.25">
      <c r="A22" s="74" t="s">
        <v>129</v>
      </c>
      <c r="B22" s="82">
        <v>330</v>
      </c>
      <c r="C22" s="82">
        <v>2</v>
      </c>
      <c r="D22" s="82">
        <v>0</v>
      </c>
      <c r="E22" s="16">
        <v>0</v>
      </c>
    </row>
    <row r="23" spans="1:5" x14ac:dyDescent="0.25">
      <c r="A23" s="74" t="s">
        <v>128</v>
      </c>
      <c r="B23" s="82">
        <v>55</v>
      </c>
      <c r="C23" s="82">
        <v>18</v>
      </c>
      <c r="D23" s="82">
        <v>0</v>
      </c>
      <c r="E23" s="16">
        <v>0</v>
      </c>
    </row>
    <row r="24" spans="1:5" x14ac:dyDescent="0.25">
      <c r="A24" s="74" t="s">
        <v>127</v>
      </c>
      <c r="B24" s="82">
        <v>22</v>
      </c>
      <c r="C24" s="82">
        <v>18</v>
      </c>
      <c r="D24" s="82">
        <v>0</v>
      </c>
      <c r="E24" s="16">
        <v>0</v>
      </c>
    </row>
    <row r="25" spans="1:5" x14ac:dyDescent="0.25">
      <c r="A25" s="74" t="s">
        <v>77</v>
      </c>
      <c r="B25" s="82">
        <v>15000</v>
      </c>
      <c r="C25" s="82">
        <v>1</v>
      </c>
      <c r="D25" s="82">
        <v>0</v>
      </c>
      <c r="E25" s="16">
        <v>0</v>
      </c>
    </row>
    <row r="26" spans="1:5" x14ac:dyDescent="0.25">
      <c r="A26" s="74" t="s">
        <v>81</v>
      </c>
      <c r="B26" s="82">
        <v>396</v>
      </c>
      <c r="C26" s="82">
        <v>2</v>
      </c>
      <c r="D26" s="82">
        <v>0</v>
      </c>
      <c r="E26" s="16">
        <v>0</v>
      </c>
    </row>
    <row r="27" spans="1:5" x14ac:dyDescent="0.25">
      <c r="A27" s="74" t="s">
        <v>175</v>
      </c>
      <c r="B27" s="82">
        <v>100000</v>
      </c>
      <c r="C27" s="82">
        <v>1</v>
      </c>
      <c r="D27" s="82">
        <v>1</v>
      </c>
      <c r="E27" s="16">
        <v>100000</v>
      </c>
    </row>
    <row r="28" spans="1:5" x14ac:dyDescent="0.25">
      <c r="A28" s="6" t="s">
        <v>109</v>
      </c>
      <c r="B28" s="82">
        <v>10240</v>
      </c>
      <c r="C28" s="82">
        <v>10</v>
      </c>
      <c r="D28" s="82">
        <v>18</v>
      </c>
      <c r="E28" s="16">
        <v>6300</v>
      </c>
    </row>
    <row r="29" spans="1:5" x14ac:dyDescent="0.25">
      <c r="A29" s="74" t="s">
        <v>138</v>
      </c>
      <c r="B29" s="82">
        <v>2035</v>
      </c>
      <c r="C29" s="82">
        <v>1</v>
      </c>
      <c r="D29" s="82">
        <v>0</v>
      </c>
      <c r="E29" s="16">
        <v>0</v>
      </c>
    </row>
    <row r="30" spans="1:5" x14ac:dyDescent="0.25">
      <c r="A30" s="74" t="s">
        <v>135</v>
      </c>
      <c r="B30" s="82">
        <v>2035</v>
      </c>
      <c r="C30" s="82">
        <v>1</v>
      </c>
      <c r="D30" s="82">
        <v>0</v>
      </c>
      <c r="E30" s="16">
        <v>0</v>
      </c>
    </row>
    <row r="31" spans="1:5" x14ac:dyDescent="0.25">
      <c r="A31" s="74" t="s">
        <v>133</v>
      </c>
      <c r="B31" s="82">
        <v>2035</v>
      </c>
      <c r="C31" s="82">
        <v>1</v>
      </c>
      <c r="D31" s="82">
        <v>0</v>
      </c>
      <c r="E31" s="16">
        <v>0</v>
      </c>
    </row>
    <row r="32" spans="1:5" x14ac:dyDescent="0.25">
      <c r="A32" s="74" t="s">
        <v>131</v>
      </c>
      <c r="B32" s="82">
        <v>2035</v>
      </c>
      <c r="C32" s="82">
        <v>1</v>
      </c>
      <c r="D32" s="82">
        <v>0</v>
      </c>
      <c r="E32" s="16">
        <v>0</v>
      </c>
    </row>
    <row r="33" spans="1:5" x14ac:dyDescent="0.25">
      <c r="A33" s="74" t="s">
        <v>137</v>
      </c>
      <c r="B33" s="82">
        <v>350</v>
      </c>
      <c r="C33" s="82">
        <v>1</v>
      </c>
      <c r="D33" s="82">
        <v>0</v>
      </c>
      <c r="E33" s="16">
        <v>0</v>
      </c>
    </row>
    <row r="34" spans="1:5" x14ac:dyDescent="0.25">
      <c r="A34" s="74" t="s">
        <v>136</v>
      </c>
      <c r="B34" s="82">
        <v>350</v>
      </c>
      <c r="C34" s="82">
        <v>1</v>
      </c>
      <c r="D34" s="82">
        <v>0</v>
      </c>
      <c r="E34" s="16">
        <v>0</v>
      </c>
    </row>
    <row r="35" spans="1:5" x14ac:dyDescent="0.25">
      <c r="A35" s="74" t="s">
        <v>134</v>
      </c>
      <c r="B35" s="82">
        <v>350</v>
      </c>
      <c r="C35" s="82">
        <v>1</v>
      </c>
      <c r="D35" s="82">
        <v>0</v>
      </c>
      <c r="E35" s="16">
        <v>0</v>
      </c>
    </row>
    <row r="36" spans="1:5" x14ac:dyDescent="0.25">
      <c r="A36" s="74" t="s">
        <v>132</v>
      </c>
      <c r="B36" s="82">
        <v>350</v>
      </c>
      <c r="C36" s="82">
        <v>1</v>
      </c>
      <c r="D36" s="82">
        <v>0</v>
      </c>
      <c r="E36" s="16">
        <v>0</v>
      </c>
    </row>
    <row r="37" spans="1:5" x14ac:dyDescent="0.25">
      <c r="A37" s="74" t="s">
        <v>171</v>
      </c>
      <c r="B37" s="82">
        <v>350</v>
      </c>
      <c r="C37" s="82">
        <v>1</v>
      </c>
      <c r="D37" s="82">
        <v>14</v>
      </c>
      <c r="E37" s="16">
        <v>4900</v>
      </c>
    </row>
    <row r="38" spans="1:5" x14ac:dyDescent="0.25">
      <c r="A38" s="74" t="s">
        <v>173</v>
      </c>
      <c r="B38" s="82">
        <v>350</v>
      </c>
      <c r="C38" s="82">
        <v>1</v>
      </c>
      <c r="D38" s="82">
        <v>4</v>
      </c>
      <c r="E38" s="16">
        <v>1400</v>
      </c>
    </row>
    <row r="39" spans="1:5" x14ac:dyDescent="0.25">
      <c r="A39" s="6" t="s">
        <v>110</v>
      </c>
      <c r="B39" s="82">
        <v>64000</v>
      </c>
      <c r="C39" s="82">
        <v>10</v>
      </c>
      <c r="D39" s="82">
        <v>4</v>
      </c>
      <c r="E39" s="16">
        <v>16000</v>
      </c>
    </row>
    <row r="40" spans="1:5" x14ac:dyDescent="0.25">
      <c r="A40" s="74" t="s">
        <v>101</v>
      </c>
      <c r="B40" s="82">
        <v>10000</v>
      </c>
      <c r="C40" s="82">
        <v>1</v>
      </c>
      <c r="D40" s="82">
        <v>0</v>
      </c>
      <c r="E40" s="16">
        <v>0</v>
      </c>
    </row>
    <row r="41" spans="1:5" x14ac:dyDescent="0.25">
      <c r="A41" s="74" t="s">
        <v>99</v>
      </c>
      <c r="B41" s="82">
        <v>10000</v>
      </c>
      <c r="C41" s="82">
        <v>1</v>
      </c>
      <c r="D41" s="82">
        <v>0</v>
      </c>
      <c r="E41" s="16">
        <v>0</v>
      </c>
    </row>
    <row r="42" spans="1:5" x14ac:dyDescent="0.25">
      <c r="A42" s="74" t="s">
        <v>98</v>
      </c>
      <c r="B42" s="82">
        <v>10000</v>
      </c>
      <c r="C42" s="82">
        <v>1</v>
      </c>
      <c r="D42" s="82">
        <v>0</v>
      </c>
      <c r="E42" s="16">
        <v>0</v>
      </c>
    </row>
    <row r="43" spans="1:5" x14ac:dyDescent="0.25">
      <c r="A43" s="74" t="s">
        <v>95</v>
      </c>
      <c r="B43" s="82">
        <v>10000</v>
      </c>
      <c r="C43" s="82">
        <v>1</v>
      </c>
      <c r="D43" s="82">
        <v>0</v>
      </c>
      <c r="E43" s="16">
        <v>0</v>
      </c>
    </row>
    <row r="44" spans="1:5" x14ac:dyDescent="0.25">
      <c r="A44" s="74" t="s">
        <v>102</v>
      </c>
      <c r="B44" s="82">
        <v>4000</v>
      </c>
      <c r="C44" s="82">
        <v>1</v>
      </c>
      <c r="D44" s="82">
        <v>0</v>
      </c>
      <c r="E44" s="16">
        <v>0</v>
      </c>
    </row>
    <row r="45" spans="1:5" x14ac:dyDescent="0.25">
      <c r="A45" s="74" t="s">
        <v>100</v>
      </c>
      <c r="B45" s="82">
        <v>4000</v>
      </c>
      <c r="C45" s="82">
        <v>1</v>
      </c>
      <c r="D45" s="82">
        <v>0</v>
      </c>
      <c r="E45" s="16">
        <v>0</v>
      </c>
    </row>
    <row r="46" spans="1:5" x14ac:dyDescent="0.25">
      <c r="A46" s="74" t="s">
        <v>96</v>
      </c>
      <c r="B46" s="82">
        <v>4000</v>
      </c>
      <c r="C46" s="82">
        <v>1</v>
      </c>
      <c r="D46" s="82">
        <v>0</v>
      </c>
      <c r="E46" s="16">
        <v>0</v>
      </c>
    </row>
    <row r="47" spans="1:5" x14ac:dyDescent="0.25">
      <c r="A47" s="74" t="s">
        <v>97</v>
      </c>
      <c r="B47" s="82">
        <v>4000</v>
      </c>
      <c r="C47" s="82">
        <v>1</v>
      </c>
      <c r="D47" s="82">
        <v>0</v>
      </c>
      <c r="E47" s="16">
        <v>0</v>
      </c>
    </row>
    <row r="48" spans="1:5" x14ac:dyDescent="0.25">
      <c r="A48" s="74" t="s">
        <v>170</v>
      </c>
      <c r="B48" s="82">
        <v>4000</v>
      </c>
      <c r="C48" s="82">
        <v>1</v>
      </c>
      <c r="D48" s="82">
        <v>2</v>
      </c>
      <c r="E48" s="16">
        <v>8000</v>
      </c>
    </row>
    <row r="49" spans="1:5" x14ac:dyDescent="0.25">
      <c r="A49" s="74" t="s">
        <v>172</v>
      </c>
      <c r="B49" s="82">
        <v>4000</v>
      </c>
      <c r="C49" s="82">
        <v>1</v>
      </c>
      <c r="D49" s="82">
        <v>2</v>
      </c>
      <c r="E49" s="16">
        <v>8000</v>
      </c>
    </row>
    <row r="50" spans="1:5" x14ac:dyDescent="0.25">
      <c r="A50" s="6" t="s">
        <v>124</v>
      </c>
      <c r="B50" s="82">
        <v>1358671.5</v>
      </c>
      <c r="C50" s="82">
        <v>13</v>
      </c>
      <c r="D50" s="82">
        <v>12</v>
      </c>
      <c r="E50" s="16">
        <v>1262900</v>
      </c>
    </row>
    <row r="51" spans="1:5" x14ac:dyDescent="0.25">
      <c r="A51" s="74" t="s">
        <v>75</v>
      </c>
      <c r="B51" s="82">
        <v>7500</v>
      </c>
      <c r="C51" s="82">
        <v>1</v>
      </c>
      <c r="D51" s="82">
        <v>1</v>
      </c>
      <c r="E51" s="16">
        <v>7500</v>
      </c>
    </row>
    <row r="52" spans="1:5" x14ac:dyDescent="0.25">
      <c r="A52" s="74" t="s">
        <v>71</v>
      </c>
      <c r="B52" s="82">
        <v>3000</v>
      </c>
      <c r="C52" s="82">
        <v>1</v>
      </c>
      <c r="D52" s="82">
        <v>1</v>
      </c>
      <c r="E52" s="16">
        <v>3000</v>
      </c>
    </row>
    <row r="53" spans="1:5" x14ac:dyDescent="0.25">
      <c r="A53" s="74" t="s">
        <v>139</v>
      </c>
      <c r="B53" s="82">
        <v>15000</v>
      </c>
      <c r="C53" s="82">
        <v>1</v>
      </c>
      <c r="D53" s="82">
        <v>4</v>
      </c>
      <c r="E53" s="16">
        <v>60000</v>
      </c>
    </row>
    <row r="54" spans="1:5" x14ac:dyDescent="0.25">
      <c r="A54" s="74" t="s">
        <v>70</v>
      </c>
      <c r="B54" s="82">
        <v>50000</v>
      </c>
      <c r="C54" s="82">
        <v>1</v>
      </c>
      <c r="D54" s="82">
        <v>1</v>
      </c>
      <c r="E54" s="16">
        <v>50000</v>
      </c>
    </row>
    <row r="55" spans="1:5" x14ac:dyDescent="0.25">
      <c r="A55" s="74" t="s">
        <v>27</v>
      </c>
      <c r="B55" s="82">
        <v>1000000</v>
      </c>
      <c r="C55" s="82">
        <v>1</v>
      </c>
      <c r="D55" s="82">
        <v>1</v>
      </c>
      <c r="E55" s="16">
        <v>1000000</v>
      </c>
    </row>
    <row r="56" spans="1:5" x14ac:dyDescent="0.25">
      <c r="A56" s="74" t="s">
        <v>73</v>
      </c>
      <c r="B56" s="82">
        <v>17900</v>
      </c>
      <c r="C56" s="82">
        <v>1</v>
      </c>
      <c r="D56" s="82">
        <v>1</v>
      </c>
      <c r="E56" s="16">
        <v>17900</v>
      </c>
    </row>
    <row r="57" spans="1:5" x14ac:dyDescent="0.25">
      <c r="A57" s="74" t="s">
        <v>74</v>
      </c>
      <c r="B57" s="82">
        <v>6500</v>
      </c>
      <c r="C57" s="82">
        <v>1</v>
      </c>
      <c r="D57" s="82">
        <v>1</v>
      </c>
      <c r="E57" s="16">
        <v>6500</v>
      </c>
    </row>
    <row r="58" spans="1:5" x14ac:dyDescent="0.25">
      <c r="A58" s="74" t="s">
        <v>76</v>
      </c>
      <c r="B58" s="82">
        <v>100000</v>
      </c>
      <c r="C58" s="82">
        <v>1</v>
      </c>
      <c r="D58" s="82">
        <v>0</v>
      </c>
      <c r="E58" s="16">
        <v>0</v>
      </c>
    </row>
    <row r="59" spans="1:5" x14ac:dyDescent="0.25">
      <c r="A59" s="74" t="s">
        <v>168</v>
      </c>
      <c r="B59" s="82">
        <v>18000</v>
      </c>
      <c r="C59" s="82">
        <v>1</v>
      </c>
      <c r="D59" s="82">
        <v>1</v>
      </c>
      <c r="E59" s="16">
        <v>18000</v>
      </c>
    </row>
    <row r="60" spans="1:5" x14ac:dyDescent="0.25">
      <c r="A60" s="74" t="s">
        <v>174</v>
      </c>
      <c r="B60" s="82">
        <v>40771.5</v>
      </c>
      <c r="C60" s="82">
        <v>3</v>
      </c>
      <c r="D60" s="82">
        <v>0</v>
      </c>
      <c r="E60" s="16">
        <v>0</v>
      </c>
    </row>
    <row r="61" spans="1:5" x14ac:dyDescent="0.25">
      <c r="A61" s="74" t="s">
        <v>176</v>
      </c>
      <c r="B61" s="82">
        <v>100000</v>
      </c>
      <c r="C61" s="82">
        <v>1</v>
      </c>
      <c r="D61" s="82">
        <v>1</v>
      </c>
      <c r="E61" s="16">
        <v>100000</v>
      </c>
    </row>
    <row r="62" spans="1:5" x14ac:dyDescent="0.25">
      <c r="A62" s="6" t="s">
        <v>125</v>
      </c>
      <c r="B62" s="82">
        <v>536800</v>
      </c>
      <c r="C62" s="82">
        <v>2</v>
      </c>
      <c r="D62" s="82">
        <v>2</v>
      </c>
      <c r="E62" s="16">
        <v>536800</v>
      </c>
    </row>
    <row r="63" spans="1:5" x14ac:dyDescent="0.25">
      <c r="A63" s="74" t="s">
        <v>28</v>
      </c>
      <c r="B63" s="82">
        <v>100000</v>
      </c>
      <c r="C63" s="82">
        <v>1</v>
      </c>
      <c r="D63" s="82">
        <v>1</v>
      </c>
      <c r="E63" s="16">
        <v>100000</v>
      </c>
    </row>
    <row r="64" spans="1:5" x14ac:dyDescent="0.25">
      <c r="A64" s="74" t="s">
        <v>177</v>
      </c>
      <c r="B64" s="82">
        <v>436800</v>
      </c>
      <c r="C64" s="82">
        <v>1</v>
      </c>
      <c r="D64" s="82">
        <v>1</v>
      </c>
      <c r="E64" s="16">
        <v>436800</v>
      </c>
    </row>
    <row r="65" spans="1:5" x14ac:dyDescent="0.25">
      <c r="A65" s="6" t="s">
        <v>163</v>
      </c>
      <c r="B65" s="82">
        <v>2147014.5</v>
      </c>
      <c r="C65" s="82">
        <v>333</v>
      </c>
      <c r="D65" s="82">
        <v>53</v>
      </c>
      <c r="E65" s="16">
        <v>2912000</v>
      </c>
    </row>
    <row r="66" spans="1:5" x14ac:dyDescent="0.25">
      <c r="B66"/>
    </row>
    <row r="67" spans="1:5" x14ac:dyDescent="0.25">
      <c r="B67"/>
    </row>
    <row r="68" spans="1:5" x14ac:dyDescent="0.25">
      <c r="B68"/>
    </row>
    <row r="69" spans="1:5" x14ac:dyDescent="0.25">
      <c r="B69"/>
    </row>
    <row r="70" spans="1:5" x14ac:dyDescent="0.25">
      <c r="B70"/>
    </row>
    <row r="71" spans="1:5" x14ac:dyDescent="0.25">
      <c r="B71"/>
    </row>
    <row r="72" spans="1:5" x14ac:dyDescent="0.25">
      <c r="B72"/>
    </row>
    <row r="73" spans="1:5" x14ac:dyDescent="0.25">
      <c r="B73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B2F1-479A-4DE7-A7F4-C4FD618A9749}">
  <dimension ref="B1:G7"/>
  <sheetViews>
    <sheetView topLeftCell="C1" workbookViewId="0">
      <selection activeCell="H20" sqref="H20"/>
    </sheetView>
  </sheetViews>
  <sheetFormatPr defaultRowHeight="15" x14ac:dyDescent="0.25"/>
  <cols>
    <col min="2" max="2" width="9.140625" hidden="1" customWidth="1"/>
    <col min="3" max="3" width="41.5703125" bestFit="1" customWidth="1"/>
    <col min="4" max="4" width="13.7109375" customWidth="1"/>
    <col min="5" max="5" width="13.28515625" bestFit="1" customWidth="1"/>
    <col min="6" max="6" width="14.28515625" bestFit="1" customWidth="1"/>
  </cols>
  <sheetData>
    <row r="1" spans="2:7" x14ac:dyDescent="0.25">
      <c r="E1" s="11">
        <v>0.15</v>
      </c>
      <c r="F1">
        <v>18</v>
      </c>
    </row>
    <row r="2" spans="2:7" x14ac:dyDescent="0.25">
      <c r="C2" s="12" t="s">
        <v>56</v>
      </c>
      <c r="D2" s="12" t="s">
        <v>57</v>
      </c>
      <c r="E2" s="12" t="s">
        <v>58</v>
      </c>
      <c r="F2" s="12" t="s">
        <v>169</v>
      </c>
    </row>
    <row r="3" spans="2:7" x14ac:dyDescent="0.25">
      <c r="B3" s="3" t="s">
        <v>59</v>
      </c>
      <c r="C3" s="13" t="s">
        <v>60</v>
      </c>
      <c r="D3" s="14">
        <v>15983.49</v>
      </c>
      <c r="E3" s="14">
        <f>D3*$E$1</f>
        <v>2397.5234999999998</v>
      </c>
      <c r="F3" s="14">
        <f>E3*$F$1</f>
        <v>43155.422999999995</v>
      </c>
      <c r="G3" s="1"/>
    </row>
    <row r="4" spans="2:7" x14ac:dyDescent="0.25">
      <c r="B4" t="s">
        <v>61</v>
      </c>
      <c r="C4" s="13" t="s">
        <v>62</v>
      </c>
      <c r="D4" s="14">
        <v>23185.69</v>
      </c>
      <c r="E4" s="14">
        <f t="shared" ref="E4:E6" si="0">D4*$E$1</f>
        <v>3477.8534999999997</v>
      </c>
      <c r="F4" s="14">
        <f t="shared" ref="F4:F6" si="1">E4*$F$1</f>
        <v>62601.362999999998</v>
      </c>
    </row>
    <row r="5" spans="2:7" x14ac:dyDescent="0.25">
      <c r="B5" s="3" t="s">
        <v>63</v>
      </c>
      <c r="C5" s="13" t="s">
        <v>60</v>
      </c>
      <c r="D5" s="14">
        <v>17075.02</v>
      </c>
      <c r="E5" s="14">
        <f t="shared" si="0"/>
        <v>2561.2530000000002</v>
      </c>
      <c r="F5" s="14">
        <f t="shared" si="1"/>
        <v>46102.554000000004</v>
      </c>
    </row>
    <row r="6" spans="2:7" x14ac:dyDescent="0.25">
      <c r="B6" t="s">
        <v>64</v>
      </c>
      <c r="C6" s="13" t="s">
        <v>60</v>
      </c>
      <c r="D6" s="14">
        <v>13052.04</v>
      </c>
      <c r="E6" s="14">
        <f t="shared" si="0"/>
        <v>1957.806</v>
      </c>
      <c r="F6" s="14">
        <f t="shared" si="1"/>
        <v>35240.508000000002</v>
      </c>
    </row>
    <row r="7" spans="2:7" x14ac:dyDescent="0.25">
      <c r="C7" s="13" t="s">
        <v>7</v>
      </c>
      <c r="D7" s="13"/>
      <c r="E7" s="13"/>
      <c r="F7" s="15">
        <f>SUBTOTAL(109,Tabela9[18 meses(R$)])</f>
        <v>187099.848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E0337-9841-4C77-9C15-E3DF1BDAFA72}">
  <dimension ref="A1:H60"/>
  <sheetViews>
    <sheetView workbookViewId="0">
      <selection activeCell="L23" sqref="L23"/>
    </sheetView>
  </sheetViews>
  <sheetFormatPr defaultRowHeight="15" x14ac:dyDescent="0.25"/>
  <cols>
    <col min="2" max="2" width="30.28515625" customWidth="1"/>
    <col min="3" max="3" width="20.85546875" customWidth="1"/>
    <col min="4" max="4" width="10.140625" style="25" customWidth="1"/>
    <col min="5" max="5" width="13.5703125" style="25" bestFit="1" customWidth="1"/>
    <col min="6" max="6" width="15.42578125" style="27" customWidth="1"/>
    <col min="7" max="7" width="17.42578125" customWidth="1"/>
  </cols>
  <sheetData>
    <row r="1" spans="1:8" x14ac:dyDescent="0.25">
      <c r="A1" s="18"/>
      <c r="B1" s="19" t="s">
        <v>29</v>
      </c>
      <c r="C1" s="19" t="s">
        <v>30</v>
      </c>
      <c r="D1" s="24" t="s">
        <v>31</v>
      </c>
      <c r="E1" s="24" t="s">
        <v>32</v>
      </c>
      <c r="F1" s="26" t="s">
        <v>33</v>
      </c>
      <c r="G1" s="28" t="s">
        <v>34</v>
      </c>
      <c r="H1" s="28" t="s">
        <v>35</v>
      </c>
    </row>
    <row r="2" spans="1:8" x14ac:dyDescent="0.25">
      <c r="B2" t="s">
        <v>36</v>
      </c>
      <c r="C2" s="17" t="s">
        <v>37</v>
      </c>
      <c r="D2" s="25">
        <v>246000</v>
      </c>
      <c r="E2" s="25">
        <f>D2*5.5</f>
        <v>1353000</v>
      </c>
      <c r="F2" s="27">
        <f>E2*(0.25)</f>
        <v>338250</v>
      </c>
      <c r="G2" s="27">
        <f xml:space="preserve"> E2+F2</f>
        <v>1691250</v>
      </c>
      <c r="H2" t="s">
        <v>38</v>
      </c>
    </row>
    <row r="3" spans="1:8" x14ac:dyDescent="0.25">
      <c r="B3" t="s">
        <v>39</v>
      </c>
      <c r="C3" t="s">
        <v>40</v>
      </c>
      <c r="D3" s="25">
        <v>90000</v>
      </c>
      <c r="E3" s="25">
        <f>D3*5.5</f>
        <v>495000</v>
      </c>
      <c r="F3" s="27">
        <f>E3*(0.25)</f>
        <v>123750</v>
      </c>
      <c r="G3" s="27">
        <f xml:space="preserve"> E3+F3</f>
        <v>618750</v>
      </c>
      <c r="H3" t="s">
        <v>41</v>
      </c>
    </row>
    <row r="4" spans="1:8" x14ac:dyDescent="0.25">
      <c r="B4" t="s">
        <v>42</v>
      </c>
      <c r="C4" s="17" t="s">
        <v>43</v>
      </c>
      <c r="D4" s="29" t="s">
        <v>44</v>
      </c>
      <c r="F4" s="27">
        <f t="shared" ref="F4:F8" si="0">E4*(0.25)</f>
        <v>0</v>
      </c>
      <c r="G4" s="27">
        <f t="shared" ref="G4:G8" si="1" xml:space="preserve"> E4+F4</f>
        <v>0</v>
      </c>
    </row>
    <row r="5" spans="1:8" x14ac:dyDescent="0.25">
      <c r="B5" s="31" t="s">
        <v>45</v>
      </c>
      <c r="C5" s="31" t="s">
        <v>46</v>
      </c>
      <c r="D5" s="32" t="s">
        <v>44</v>
      </c>
      <c r="E5" s="33"/>
      <c r="F5" s="34">
        <f t="shared" si="0"/>
        <v>0</v>
      </c>
      <c r="G5" s="34">
        <f t="shared" si="1"/>
        <v>0</v>
      </c>
      <c r="H5" t="s">
        <v>67</v>
      </c>
    </row>
    <row r="6" spans="1:8" x14ac:dyDescent="0.25">
      <c r="B6" t="s">
        <v>68</v>
      </c>
      <c r="C6" t="s">
        <v>69</v>
      </c>
      <c r="D6" s="29" t="s">
        <v>44</v>
      </c>
      <c r="F6" s="27">
        <f t="shared" si="0"/>
        <v>0</v>
      </c>
      <c r="G6" s="27">
        <f t="shared" si="1"/>
        <v>0</v>
      </c>
    </row>
    <row r="7" spans="1:8" x14ac:dyDescent="0.25">
      <c r="B7" s="31" t="s">
        <v>47</v>
      </c>
      <c r="C7" s="31"/>
      <c r="D7" s="32" t="s">
        <v>44</v>
      </c>
      <c r="E7" s="33"/>
      <c r="F7" s="34">
        <f t="shared" si="0"/>
        <v>0</v>
      </c>
      <c r="G7" s="34">
        <f t="shared" si="1"/>
        <v>0</v>
      </c>
    </row>
    <row r="8" spans="1:8" x14ac:dyDescent="0.25">
      <c r="B8" t="s">
        <v>48</v>
      </c>
      <c r="C8" s="17" t="s">
        <v>72</v>
      </c>
      <c r="E8" s="25">
        <v>40000</v>
      </c>
      <c r="F8" s="27">
        <f t="shared" si="0"/>
        <v>10000</v>
      </c>
      <c r="G8" s="27">
        <f t="shared" si="1"/>
        <v>50000</v>
      </c>
    </row>
    <row r="9" spans="1:8" x14ac:dyDescent="0.25">
      <c r="B9" t="s">
        <v>49</v>
      </c>
      <c r="D9" s="25" t="s">
        <v>44</v>
      </c>
    </row>
    <row r="10" spans="1:8" x14ac:dyDescent="0.25">
      <c r="B10" t="s">
        <v>50</v>
      </c>
      <c r="C10" t="s">
        <v>51</v>
      </c>
      <c r="D10" s="29" t="s">
        <v>44</v>
      </c>
    </row>
    <row r="11" spans="1:8" x14ac:dyDescent="0.25">
      <c r="B11" t="s">
        <v>52</v>
      </c>
      <c r="C11" t="s">
        <v>53</v>
      </c>
    </row>
    <row r="12" spans="1:8" x14ac:dyDescent="0.25">
      <c r="B12" t="s">
        <v>54</v>
      </c>
      <c r="C12" t="s">
        <v>55</v>
      </c>
    </row>
    <row r="13" spans="1:8" x14ac:dyDescent="0.25">
      <c r="F13" s="30"/>
    </row>
    <row r="15" spans="1:8" ht="19.5" thickBot="1" x14ac:dyDescent="0.35">
      <c r="B15" s="81" t="s">
        <v>25</v>
      </c>
      <c r="C15" s="81"/>
      <c r="D15" s="81"/>
      <c r="E15" s="81"/>
      <c r="F15"/>
    </row>
    <row r="16" spans="1:8" ht="15.75" thickBot="1" x14ac:dyDescent="0.3">
      <c r="B16" s="7" t="s">
        <v>21</v>
      </c>
      <c r="C16" s="8" t="s">
        <v>22</v>
      </c>
      <c r="D16" s="9" t="s">
        <v>26</v>
      </c>
      <c r="E16" s="9" t="s">
        <v>23</v>
      </c>
      <c r="F16" s="8" t="s">
        <v>7</v>
      </c>
    </row>
    <row r="17" spans="2:6" x14ac:dyDescent="0.25">
      <c r="B17" s="37" t="s">
        <v>78</v>
      </c>
      <c r="C17" s="38">
        <v>22</v>
      </c>
      <c r="D17" s="39">
        <v>18</v>
      </c>
      <c r="E17" s="39">
        <v>6</v>
      </c>
      <c r="F17" s="36">
        <f>Tabela617302[[#This Row],[Meses/Anos]]*Tabela617302[[#This Row],[Valor unitário]]*Tabela617302[[#This Row],[Qtde]]</f>
        <v>2376</v>
      </c>
    </row>
    <row r="18" spans="2:6" x14ac:dyDescent="0.25">
      <c r="B18" s="37" t="s">
        <v>79</v>
      </c>
      <c r="C18" s="38">
        <v>92</v>
      </c>
      <c r="D18" s="39">
        <v>18</v>
      </c>
      <c r="E18" s="39">
        <v>0</v>
      </c>
      <c r="F18" s="36">
        <f>Tabela617302[[#This Row],[Meses/Anos]]*Tabela617302[[#This Row],[Valor unitário]]*Tabela617302[[#This Row],[Qtde]]</f>
        <v>0</v>
      </c>
    </row>
    <row r="19" spans="2:6" x14ac:dyDescent="0.25">
      <c r="B19" s="37" t="s">
        <v>80</v>
      </c>
      <c r="C19" s="38">
        <v>96.99</v>
      </c>
      <c r="D19" s="39">
        <v>18</v>
      </c>
      <c r="E19" s="39">
        <v>0</v>
      </c>
      <c r="F19" s="36">
        <f>Tabela617302[[#This Row],[Meses/Anos]]*Tabela617302[[#This Row],[Valor unitário]]*Tabela617302[[#This Row],[Qtde]]</f>
        <v>0</v>
      </c>
    </row>
    <row r="20" spans="2:6" x14ac:dyDescent="0.25">
      <c r="B20" t="s">
        <v>81</v>
      </c>
      <c r="C20" s="2">
        <v>396</v>
      </c>
      <c r="D20" s="5">
        <v>2</v>
      </c>
      <c r="E20" s="5">
        <v>0</v>
      </c>
      <c r="F20" s="36">
        <f>Tabela617302[[#This Row],[Meses/Anos]]*Tabela617302[[#This Row],[Valor unitário]]*Tabela617302[[#This Row],[Qtde]]</f>
        <v>0</v>
      </c>
    </row>
    <row r="21" spans="2:6" x14ac:dyDescent="0.25">
      <c r="B21" t="s">
        <v>82</v>
      </c>
      <c r="C21" s="2">
        <v>997.5</v>
      </c>
      <c r="D21" s="5">
        <v>2</v>
      </c>
      <c r="E21" s="5">
        <v>0</v>
      </c>
      <c r="F21" s="35">
        <f>Tabela617302[[#This Row],[Meses/Anos]]*Tabela617302[[#This Row],[Valor unitário]]*Tabela617302[[#This Row],[Qtde]]</f>
        <v>0</v>
      </c>
    </row>
    <row r="22" spans="2:6" x14ac:dyDescent="0.25">
      <c r="B22" s="41" t="s">
        <v>83</v>
      </c>
      <c r="C22" s="42">
        <v>1152</v>
      </c>
      <c r="D22" s="43">
        <v>2</v>
      </c>
      <c r="E22" s="43">
        <v>0</v>
      </c>
      <c r="F22" s="44">
        <f>Tabela617302[[#This Row],[Meses/Anos]]*Tabela617302[[#This Row],[Valor unitário]]*Tabela617302[[#This Row],[Qtde]]</f>
        <v>0</v>
      </c>
    </row>
    <row r="23" spans="2:6" x14ac:dyDescent="0.25">
      <c r="B23" s="37" t="s">
        <v>84</v>
      </c>
      <c r="C23" s="38">
        <v>840</v>
      </c>
      <c r="D23" s="39">
        <v>2</v>
      </c>
      <c r="E23" s="39">
        <v>0</v>
      </c>
      <c r="F23" s="40">
        <f>Tabela617302[[#This Row],[Meses/Anos]]*Tabela617302[[#This Row],[Valor unitário]]*Tabela617302[[#This Row],[Qtde]]</f>
        <v>0</v>
      </c>
    </row>
    <row r="24" spans="2:6" x14ac:dyDescent="0.25">
      <c r="B24" s="20" t="s">
        <v>85</v>
      </c>
      <c r="C24" s="21">
        <v>66</v>
      </c>
      <c r="D24" s="22">
        <v>18</v>
      </c>
      <c r="E24" s="22">
        <v>0</v>
      </c>
      <c r="F24" s="36">
        <f>Tabela617302[[#This Row],[Meses/Anos]]*Tabela617302[[#This Row],[Valor unitário]]*Tabela617302[[#This Row],[Qtde]]</f>
        <v>0</v>
      </c>
    </row>
    <row r="25" spans="2:6" x14ac:dyDescent="0.25">
      <c r="B25" s="37" t="s">
        <v>86</v>
      </c>
      <c r="C25" s="38">
        <v>610</v>
      </c>
      <c r="D25" s="39">
        <v>2</v>
      </c>
      <c r="E25" s="39">
        <v>0</v>
      </c>
      <c r="F25" s="40">
        <f>Tabela617302[[#This Row],[Meses/Anos]]*Tabela617302[[#This Row],[Valor unitário]]*Tabela617302[[#This Row],[Qtde]]</f>
        <v>0</v>
      </c>
    </row>
    <row r="26" spans="2:6" x14ac:dyDescent="0.25">
      <c r="B26" s="20" t="s">
        <v>87</v>
      </c>
      <c r="C26" s="21">
        <v>55</v>
      </c>
      <c r="D26" s="22">
        <v>18</v>
      </c>
      <c r="E26" s="22">
        <v>0</v>
      </c>
      <c r="F26" s="36">
        <f>Tabela617302[[#This Row],[Meses/Anos]]*Tabela617302[[#This Row],[Valor unitário]]*Tabela617302[[#This Row],[Qtde]]</f>
        <v>0</v>
      </c>
    </row>
    <row r="27" spans="2:6" x14ac:dyDescent="0.25">
      <c r="B27" s="37" t="s">
        <v>88</v>
      </c>
      <c r="C27" s="38">
        <v>660</v>
      </c>
      <c r="D27" s="39">
        <v>2</v>
      </c>
      <c r="E27" s="39">
        <v>0</v>
      </c>
      <c r="F27" s="40">
        <f>Tabela617302[[#This Row],[Meses/Anos]]*Tabela617302[[#This Row],[Valor unitário]]*Tabela617302[[#This Row],[Qtde]]</f>
        <v>0</v>
      </c>
    </row>
    <row r="28" spans="2:6" x14ac:dyDescent="0.25">
      <c r="B28" s="41" t="s">
        <v>89</v>
      </c>
      <c r="C28" s="42">
        <v>110</v>
      </c>
      <c r="D28" s="43">
        <v>18</v>
      </c>
      <c r="E28" s="43">
        <v>0</v>
      </c>
      <c r="F28" s="44">
        <f>Tabela617302[[#This Row],[Meses/Anos]]*Tabela617302[[#This Row],[Valor unitário]]*Tabela617302[[#This Row],[Qtde]]</f>
        <v>0</v>
      </c>
    </row>
    <row r="29" spans="2:6" x14ac:dyDescent="0.25">
      <c r="B29" s="37" t="s">
        <v>93</v>
      </c>
      <c r="C29" s="38" t="e">
        <f>12*#REF!*12</f>
        <v>#REF!</v>
      </c>
      <c r="D29" s="39">
        <v>2</v>
      </c>
      <c r="E29" s="39">
        <v>0</v>
      </c>
      <c r="F29" s="40" t="e">
        <f>Tabela617302[[#This Row],[Meses/Anos]]*Tabela617302[[#This Row],[Valor unitário]]*Tabela617302[[#This Row],[Qtde]]</f>
        <v>#REF!</v>
      </c>
    </row>
    <row r="30" spans="2:6" x14ac:dyDescent="0.25">
      <c r="B30" s="20" t="s">
        <v>94</v>
      </c>
      <c r="C30" s="21"/>
      <c r="D30" s="22"/>
      <c r="E30" s="22">
        <v>6</v>
      </c>
      <c r="F30" s="36">
        <f>Tabela617302[[#This Row],[Meses/Anos]]*Tabela617302[[#This Row],[Valor unitário]]*Tabela617302[[#This Row],[Qtde]]</f>
        <v>0</v>
      </c>
    </row>
    <row r="31" spans="2:6" x14ac:dyDescent="0.25">
      <c r="B31" s="20"/>
      <c r="C31" s="21"/>
      <c r="D31" s="22"/>
      <c r="E31" s="22"/>
      <c r="F31" s="36">
        <f>Tabela617302[[#This Row],[Meses/Anos]]*Tabela617302[[#This Row],[Valor unitário]]*Tabela617302[[#This Row],[Qtde]]</f>
        <v>0</v>
      </c>
    </row>
    <row r="32" spans="2:6" x14ac:dyDescent="0.25">
      <c r="B32" s="20"/>
      <c r="C32" s="21"/>
      <c r="D32" s="22"/>
      <c r="E32" s="22"/>
      <c r="F32" s="36">
        <f>Tabela617302[[#This Row],[Meses/Anos]]*Tabela617302[[#This Row],[Valor unitário]]*Tabela617302[[#This Row],[Qtde]]</f>
        <v>0</v>
      </c>
    </row>
    <row r="33" spans="2:6" x14ac:dyDescent="0.25">
      <c r="B33" s="20"/>
      <c r="C33" s="21"/>
      <c r="D33" s="22"/>
      <c r="E33" s="22"/>
      <c r="F33" s="36">
        <f>Tabela617302[[#This Row],[Meses/Anos]]*Tabela617302[[#This Row],[Valor unitário]]*Tabela617302[[#This Row],[Qtde]]</f>
        <v>0</v>
      </c>
    </row>
    <row r="34" spans="2:6" x14ac:dyDescent="0.25">
      <c r="C34" s="2"/>
      <c r="D34" s="5"/>
      <c r="E34" s="5"/>
      <c r="F34" s="35">
        <f>Tabela617302[[#This Row],[Meses/Anos]]*Tabela617302[[#This Row],[Valor unitário]]*Tabela617302[[#This Row],[Qtde]]</f>
        <v>0</v>
      </c>
    </row>
    <row r="35" spans="2:6" x14ac:dyDescent="0.25">
      <c r="C35" s="2"/>
      <c r="D35" s="5"/>
      <c r="E35" s="5"/>
      <c r="F35" s="35">
        <f>Tabela617302[[#This Row],[Meses/Anos]]*Tabela617302[[#This Row],[Valor unitário]]*Tabela617302[[#This Row],[Qtde]]</f>
        <v>0</v>
      </c>
    </row>
    <row r="36" spans="2:6" x14ac:dyDescent="0.25">
      <c r="C36" s="2"/>
      <c r="D36" s="5"/>
      <c r="E36" s="5"/>
      <c r="F36" s="35">
        <f>Tabela617302[[#This Row],[Meses/Anos]]*Tabela617302[[#This Row],[Valor unitário]]*Tabela617302[[#This Row],[Qtde]]</f>
        <v>0</v>
      </c>
    </row>
    <row r="37" spans="2:6" x14ac:dyDescent="0.25">
      <c r="C37" s="2"/>
      <c r="D37" s="5"/>
      <c r="E37" s="5"/>
      <c r="F37" s="35">
        <f>Tabela617302[[#This Row],[Meses/Anos]]*Tabela617302[[#This Row],[Valor unitário]]*Tabela617302[[#This Row],[Qtde]]</f>
        <v>0</v>
      </c>
    </row>
    <row r="38" spans="2:6" x14ac:dyDescent="0.25">
      <c r="C38" s="2"/>
      <c r="D38" s="5"/>
      <c r="E38" s="5"/>
      <c r="F38" s="23">
        <f>Tabela617302[[#This Row],[Meses/Anos]]*Tabela617302[[#This Row],[Valor unitário]]*Tabela617302[[#This Row],[Qtde]]</f>
        <v>0</v>
      </c>
    </row>
    <row r="39" spans="2:6" x14ac:dyDescent="0.25">
      <c r="B39" t="s">
        <v>7</v>
      </c>
      <c r="D39"/>
      <c r="E39"/>
      <c r="F39" s="2" t="e">
        <f>SUBTOTAL(109,Tabela617302[Total])</f>
        <v>#REF!</v>
      </c>
    </row>
    <row r="41" spans="2:6" ht="19.5" thickBot="1" x14ac:dyDescent="0.35">
      <c r="B41" s="81" t="s">
        <v>20</v>
      </c>
      <c r="C41" s="81"/>
      <c r="D41" s="81"/>
      <c r="E41" s="81"/>
    </row>
    <row r="42" spans="2:6" ht="15.75" thickBot="1" x14ac:dyDescent="0.3">
      <c r="B42" s="7" t="s">
        <v>21</v>
      </c>
      <c r="C42" s="8" t="s">
        <v>22</v>
      </c>
      <c r="D42" s="9" t="s">
        <v>23</v>
      </c>
      <c r="E42" s="8" t="s">
        <v>7</v>
      </c>
    </row>
    <row r="43" spans="2:6" x14ac:dyDescent="0.25">
      <c r="B43" t="s">
        <v>24</v>
      </c>
      <c r="C43" s="2">
        <v>100000</v>
      </c>
      <c r="D43" s="5">
        <v>1</v>
      </c>
      <c r="E43" s="10">
        <f>Tabela6244[[#This Row],[Valor unitário]]*Tabela6244[[#This Row],[Qtde]]</f>
        <v>100000</v>
      </c>
    </row>
    <row r="44" spans="2:6" x14ac:dyDescent="0.25">
      <c r="B44" t="s">
        <v>77</v>
      </c>
      <c r="C44" s="2">
        <v>15000</v>
      </c>
      <c r="D44" s="5">
        <v>8</v>
      </c>
      <c r="E44" s="10">
        <f>Tabela6244[[#This Row],[Valor unitário]]*Tabela6244[[#This Row],[Qtde]]</f>
        <v>120000</v>
      </c>
    </row>
    <row r="45" spans="2:6" x14ac:dyDescent="0.25">
      <c r="B45" t="s">
        <v>90</v>
      </c>
      <c r="C45" s="2">
        <v>2000</v>
      </c>
      <c r="D45" s="5">
        <v>1</v>
      </c>
      <c r="E45" s="10">
        <f>Tabela6244[[#This Row],[Valor unitário]]*Tabela6244[[#This Row],[Qtde]]</f>
        <v>2000</v>
      </c>
    </row>
    <row r="46" spans="2:6" x14ac:dyDescent="0.25">
      <c r="B46" t="s">
        <v>91</v>
      </c>
      <c r="C46" s="2">
        <v>3025</v>
      </c>
      <c r="D46" s="5">
        <v>1</v>
      </c>
      <c r="E46" s="10">
        <f>Tabela6244[[#This Row],[Valor unitário]]*Tabela6244[[#This Row],[Qtde]]</f>
        <v>3025</v>
      </c>
    </row>
    <row r="47" spans="2:6" x14ac:dyDescent="0.25">
      <c r="B47" t="s">
        <v>92</v>
      </c>
      <c r="C47" s="2">
        <v>200</v>
      </c>
      <c r="D47" s="5">
        <v>36</v>
      </c>
      <c r="E47" s="10">
        <f>Tabela6244[[#This Row],[Valor unitário]]*Tabela6244[[#This Row],[Qtde]]</f>
        <v>7200</v>
      </c>
    </row>
    <row r="48" spans="2:6" x14ac:dyDescent="0.25">
      <c r="C48" s="2"/>
      <c r="D48" s="5"/>
      <c r="E48" s="10">
        <f>Tabela6244[[#This Row],[Valor unitário]]*Tabela6244[[#This Row],[Qtde]]</f>
        <v>0</v>
      </c>
    </row>
    <row r="49" spans="2:5" x14ac:dyDescent="0.25">
      <c r="C49" s="2"/>
      <c r="D49" s="5"/>
      <c r="E49" s="10">
        <f>Tabela6244[[#This Row],[Valor unitário]]*Tabela6244[[#This Row],[Qtde]]</f>
        <v>0</v>
      </c>
    </row>
    <row r="50" spans="2:5" x14ac:dyDescent="0.25">
      <c r="C50" s="2"/>
      <c r="D50" s="5"/>
      <c r="E50" s="10">
        <f>Tabela6244[[#This Row],[Valor unitário]]*Tabela6244[[#This Row],[Qtde]]</f>
        <v>0</v>
      </c>
    </row>
    <row r="51" spans="2:5" x14ac:dyDescent="0.25">
      <c r="C51" s="2"/>
      <c r="D51" s="5"/>
      <c r="E51" s="10">
        <f>Tabela6244[[#This Row],[Valor unitário]]*Tabela6244[[#This Row],[Qtde]]</f>
        <v>0</v>
      </c>
    </row>
    <row r="52" spans="2:5" x14ac:dyDescent="0.25">
      <c r="C52" s="2"/>
      <c r="D52" s="5"/>
      <c r="E52" s="10">
        <f>Tabela6244[[#This Row],[Valor unitário]]*Tabela6244[[#This Row],[Qtde]]</f>
        <v>0</v>
      </c>
    </row>
    <row r="53" spans="2:5" x14ac:dyDescent="0.25">
      <c r="C53" s="2"/>
      <c r="D53" s="5"/>
      <c r="E53" s="10">
        <f>Tabela6244[[#This Row],[Valor unitário]]*Tabela6244[[#This Row],[Qtde]]</f>
        <v>0</v>
      </c>
    </row>
    <row r="54" spans="2:5" x14ac:dyDescent="0.25">
      <c r="C54" s="2"/>
      <c r="D54" s="5"/>
      <c r="E54" s="10">
        <f>Tabela6244[[#This Row],[Valor unitário]]*Tabela6244[[#This Row],[Qtde]]</f>
        <v>0</v>
      </c>
    </row>
    <row r="55" spans="2:5" x14ac:dyDescent="0.25">
      <c r="C55" s="2"/>
      <c r="D55" s="5"/>
      <c r="E55" s="10">
        <f>Tabela6244[[#This Row],[Valor unitário]]*Tabela6244[[#This Row],[Qtde]]</f>
        <v>0</v>
      </c>
    </row>
    <row r="56" spans="2:5" x14ac:dyDescent="0.25">
      <c r="C56" s="2"/>
      <c r="D56" s="5"/>
      <c r="E56" s="10">
        <f>Tabela6244[[#This Row],[Valor unitário]]*Tabela6244[[#This Row],[Qtde]]</f>
        <v>0</v>
      </c>
    </row>
    <row r="57" spans="2:5" x14ac:dyDescent="0.25">
      <c r="C57" s="2"/>
      <c r="D57" s="5"/>
      <c r="E57" s="10">
        <f>Tabela6244[[#This Row],[Valor unitário]]*Tabela6244[[#This Row],[Qtde]]</f>
        <v>0</v>
      </c>
    </row>
    <row r="58" spans="2:5" x14ac:dyDescent="0.25">
      <c r="C58" s="2"/>
      <c r="D58" s="5"/>
      <c r="E58" s="10">
        <f>Tabela6244[[#This Row],[Valor unitário]]*Tabela6244[[#This Row],[Qtde]]</f>
        <v>0</v>
      </c>
    </row>
    <row r="59" spans="2:5" x14ac:dyDescent="0.25">
      <c r="C59" s="2"/>
      <c r="D59" s="5"/>
      <c r="E59" s="10">
        <f>Tabela6244[[#This Row],[Valor unitário]]*Tabela6244[[#This Row],[Qtde]]</f>
        <v>0</v>
      </c>
    </row>
    <row r="60" spans="2:5" x14ac:dyDescent="0.25">
      <c r="B60" t="s">
        <v>7</v>
      </c>
      <c r="D60"/>
      <c r="E60" s="2">
        <f>SUBTOTAL(109,Tabela6244[Total])</f>
        <v>232225</v>
      </c>
    </row>
  </sheetData>
  <mergeCells count="2">
    <mergeCell ref="B15:E15"/>
    <mergeCell ref="B41:E41"/>
  </mergeCells>
  <hyperlinks>
    <hyperlink ref="C2" r:id="rId1" xr:uid="{B32035BB-297E-46EE-96A4-86D223CE4EA7}"/>
    <hyperlink ref="C4" r:id="rId2" xr:uid="{372179DA-FB19-4401-AEF7-22D9A2EAA0C1}"/>
    <hyperlink ref="C8" r:id="rId3" xr:uid="{20168279-BC82-4491-9DBA-43204AE2F497}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4"/>
  <tableParts count="2"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D749-F9AF-40D8-AA76-E50D46ED8A3F}">
  <dimension ref="B2:E20"/>
  <sheetViews>
    <sheetView workbookViewId="0">
      <selection activeCell="D4" sqref="D4"/>
    </sheetView>
  </sheetViews>
  <sheetFormatPr defaultRowHeight="15" x14ac:dyDescent="0.25"/>
  <cols>
    <col min="2" max="2" width="20.7109375" customWidth="1"/>
    <col min="3" max="3" width="31.42578125" customWidth="1"/>
    <col min="4" max="4" width="22.42578125" customWidth="1"/>
    <col min="5" max="5" width="18.7109375" customWidth="1"/>
  </cols>
  <sheetData>
    <row r="2" spans="2:5" x14ac:dyDescent="0.25">
      <c r="B2" t="s">
        <v>107</v>
      </c>
      <c r="C2" t="s">
        <v>105</v>
      </c>
      <c r="D2" t="s">
        <v>116</v>
      </c>
      <c r="E2" t="s">
        <v>8</v>
      </c>
    </row>
    <row r="3" spans="2:5" x14ac:dyDescent="0.25">
      <c r="B3" t="s">
        <v>123</v>
      </c>
      <c r="C3" t="s">
        <v>111</v>
      </c>
      <c r="D3" t="s">
        <v>111</v>
      </c>
      <c r="E3" t="s">
        <v>119</v>
      </c>
    </row>
    <row r="4" spans="2:5" x14ac:dyDescent="0.25">
      <c r="B4" t="s">
        <v>124</v>
      </c>
      <c r="C4" t="s">
        <v>112</v>
      </c>
      <c r="D4" t="s">
        <v>63</v>
      </c>
      <c r="E4" t="s">
        <v>120</v>
      </c>
    </row>
    <row r="5" spans="2:5" x14ac:dyDescent="0.25">
      <c r="B5" t="s">
        <v>108</v>
      </c>
      <c r="D5" t="s">
        <v>61</v>
      </c>
    </row>
    <row r="6" spans="2:5" x14ac:dyDescent="0.25">
      <c r="B6" t="s">
        <v>109</v>
      </c>
      <c r="D6" t="s">
        <v>117</v>
      </c>
    </row>
    <row r="7" spans="2:5" x14ac:dyDescent="0.25">
      <c r="B7" t="s">
        <v>110</v>
      </c>
      <c r="D7" t="s">
        <v>118</v>
      </c>
    </row>
    <row r="8" spans="2:5" x14ac:dyDescent="0.25">
      <c r="B8" t="s">
        <v>125</v>
      </c>
      <c r="D8" t="s">
        <v>130</v>
      </c>
    </row>
    <row r="11" spans="2:5" x14ac:dyDescent="0.25">
      <c r="B11" s="4" t="s">
        <v>10</v>
      </c>
      <c r="C11" s="4" t="s">
        <v>11</v>
      </c>
    </row>
    <row r="12" spans="2:5" x14ac:dyDescent="0.25">
      <c r="B12" t="s">
        <v>12</v>
      </c>
      <c r="C12" s="45">
        <v>7200</v>
      </c>
    </row>
    <row r="13" spans="2:5" x14ac:dyDescent="0.25">
      <c r="B13" t="s">
        <v>13</v>
      </c>
      <c r="C13" s="45">
        <v>6900</v>
      </c>
    </row>
    <row r="14" spans="2:5" x14ac:dyDescent="0.25">
      <c r="B14" t="s">
        <v>15</v>
      </c>
      <c r="C14" s="45">
        <v>4000</v>
      </c>
    </row>
    <row r="15" spans="2:5" x14ac:dyDescent="0.25">
      <c r="B15" t="s">
        <v>16</v>
      </c>
      <c r="C15" s="45">
        <v>3000</v>
      </c>
    </row>
    <row r="16" spans="2:5" x14ac:dyDescent="0.25">
      <c r="B16" t="s">
        <v>17</v>
      </c>
      <c r="C16" s="45">
        <v>2100</v>
      </c>
    </row>
    <row r="17" spans="2:3" x14ac:dyDescent="0.25">
      <c r="B17" t="s">
        <v>18</v>
      </c>
      <c r="C17" s="45">
        <v>1500</v>
      </c>
    </row>
    <row r="18" spans="2:3" x14ac:dyDescent="0.25">
      <c r="B18" t="s">
        <v>19</v>
      </c>
      <c r="C18" s="45">
        <v>1100</v>
      </c>
    </row>
    <row r="20" spans="2:3" x14ac:dyDescent="0.25">
      <c r="B20" t="s">
        <v>126</v>
      </c>
      <c r="C20">
        <v>5.5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Principal_detalhado (2)</vt:lpstr>
      <vt:lpstr>Principal_detalhado</vt:lpstr>
      <vt:lpstr>Consolidado</vt:lpstr>
      <vt:lpstr>Por Cota</vt:lpstr>
      <vt:lpstr>Por Categoria</vt:lpstr>
      <vt:lpstr>contrapartida</vt:lpstr>
      <vt:lpstr>Whishlist</vt:lpstr>
      <vt:lpstr>aux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Marra Taira Menegaz</dc:creator>
  <cp:keywords/>
  <dc:description/>
  <cp:lastModifiedBy>Henrique Marra Taira Menegaz</cp:lastModifiedBy>
  <cp:revision/>
  <cp:lastPrinted>2025-11-26T21:43:54Z</cp:lastPrinted>
  <dcterms:created xsi:type="dcterms:W3CDTF">2024-04-23T18:56:27Z</dcterms:created>
  <dcterms:modified xsi:type="dcterms:W3CDTF">2025-11-27T14:04:33Z</dcterms:modified>
  <cp:category/>
  <cp:contentStatus/>
</cp:coreProperties>
</file>